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eb7e1a2403b464/Documents/"/>
    </mc:Choice>
  </mc:AlternateContent>
  <xr:revisionPtr revIDLastSave="335" documentId="8_{40E371E5-20DF-4D3E-88A4-16A2704B36B3}" xr6:coauthVersionLast="47" xr6:coauthVersionMax="47" xr10:uidLastSave="{3AC1BF29-0100-4A23-B36D-7B2BADDDD016}"/>
  <bookViews>
    <workbookView xWindow="-108" yWindow="-108" windowWidth="23256" windowHeight="12456" xr2:uid="{DA07E928-5834-40EF-8DE8-C34ACC8D28B5}"/>
  </bookViews>
  <sheets>
    <sheet name="SCGHGEF Data" sheetId="1" r:id="rId1"/>
    <sheet name="SCE_Dataset" sheetId="2" r:id="rId2"/>
    <sheet name="Pivot tables " sheetId="3" r:id="rId3"/>
  </sheets>
  <definedNames>
    <definedName name="_xlnm._FilterDatabase" localSheetId="0" hidden="1">'SCGHGEF Data'!$A$1:$H$1</definedName>
    <definedName name="ExternalData_1" localSheetId="1" hidden="1">SCE_Dataset!$A$1:$E$1017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97" i="2" l="1"/>
  <c r="H604" i="2"/>
  <c r="H265" i="2"/>
  <c r="H1001" i="2"/>
  <c r="H208" i="2"/>
  <c r="H828" i="2"/>
  <c r="H605" i="2"/>
  <c r="H21" i="2"/>
  <c r="H767" i="2"/>
  <c r="H701" i="2"/>
  <c r="H612" i="2"/>
  <c r="H154" i="2"/>
  <c r="H74" i="2"/>
  <c r="H376" i="2"/>
  <c r="H919" i="2"/>
  <c r="H105" i="2"/>
  <c r="H974" i="2"/>
  <c r="H347" i="2"/>
  <c r="H675" i="2"/>
  <c r="H546" i="2"/>
  <c r="H653" i="2"/>
  <c r="H577" i="2"/>
  <c r="H323" i="2"/>
  <c r="H962" i="2"/>
  <c r="H213" i="2"/>
  <c r="H922" i="2"/>
  <c r="H387" i="2"/>
  <c r="H921" i="2"/>
  <c r="H723" i="2"/>
  <c r="H31" i="2"/>
  <c r="H101" i="2"/>
  <c r="H144" i="2"/>
  <c r="H236" i="2"/>
  <c r="H269" i="2"/>
  <c r="H397" i="2"/>
  <c r="H149" i="2"/>
  <c r="H125" i="2"/>
  <c r="H981" i="2"/>
  <c r="H770" i="2"/>
  <c r="H683" i="2"/>
  <c r="H869" i="2"/>
  <c r="H371" i="2"/>
  <c r="H312" i="2"/>
  <c r="H871" i="2"/>
  <c r="H622" i="2"/>
  <c r="H72" i="2"/>
  <c r="H403" i="2"/>
  <c r="H353" i="2"/>
  <c r="H14" i="2"/>
  <c r="H955" i="2"/>
  <c r="H338" i="2"/>
  <c r="H479" i="2"/>
  <c r="H313" i="2"/>
  <c r="H872" i="2"/>
  <c r="H666" i="2"/>
  <c r="H411" i="2"/>
  <c r="H214" i="2"/>
  <c r="H891" i="2"/>
  <c r="H221" i="2"/>
  <c r="H765" i="2"/>
  <c r="H300" i="2"/>
  <c r="H302" i="2"/>
  <c r="H925" i="2"/>
  <c r="H927" i="2"/>
  <c r="H222" i="2"/>
  <c r="H554" i="2"/>
  <c r="H107" i="2"/>
  <c r="H108" i="2"/>
  <c r="H71" i="2"/>
  <c r="H446" i="2"/>
  <c r="H372" i="2"/>
  <c r="H879" i="2"/>
  <c r="H207" i="2"/>
  <c r="H985" i="2"/>
  <c r="H28" i="2"/>
  <c r="H247" i="2"/>
  <c r="H224" i="2"/>
  <c r="H223" i="2"/>
  <c r="H641" i="2"/>
  <c r="H195" i="2"/>
  <c r="H424" i="2"/>
  <c r="H453" i="2"/>
  <c r="H157" i="2"/>
  <c r="H766" i="2"/>
  <c r="H737" i="2"/>
  <c r="H630" i="2"/>
  <c r="H44" i="2"/>
  <c r="H260" i="2"/>
  <c r="H930" i="2"/>
  <c r="H926" i="2"/>
  <c r="H928" i="2"/>
  <c r="H929" i="2"/>
  <c r="H553" i="2"/>
  <c r="H998" i="2"/>
  <c r="H867" i="2"/>
  <c r="H914" i="2"/>
  <c r="H560" i="2"/>
  <c r="H559" i="2"/>
  <c r="H558" i="2"/>
  <c r="H825" i="2"/>
  <c r="H417" i="2"/>
  <c r="H169" i="2"/>
  <c r="H997" i="2"/>
  <c r="H603" i="2"/>
  <c r="H774" i="2"/>
  <c r="H458" i="2"/>
  <c r="H393" i="2"/>
  <c r="H660" i="2"/>
  <c r="H772" i="2"/>
  <c r="H920" i="2"/>
  <c r="H340" i="2"/>
  <c r="H492" i="2"/>
  <c r="H368" i="2"/>
  <c r="H833" i="2"/>
  <c r="H877" i="2"/>
  <c r="H654" i="2"/>
  <c r="H273" i="2"/>
  <c r="H758" i="2"/>
  <c r="H625" i="2"/>
  <c r="H268" i="2"/>
  <c r="H715" i="2"/>
  <c r="H322" i="2"/>
  <c r="H954" i="2"/>
  <c r="H314" i="2"/>
  <c r="H626" i="2"/>
  <c r="H880" i="2"/>
  <c r="H54" i="2"/>
  <c r="H256" i="2"/>
  <c r="H620" i="2"/>
  <c r="H325" i="2"/>
  <c r="H829" i="2"/>
  <c r="H485" i="2"/>
  <c r="H1000" i="2"/>
  <c r="H896" i="2"/>
  <c r="H306" i="2"/>
  <c r="H121" i="2"/>
  <c r="H104" i="2"/>
  <c r="H135" i="2"/>
  <c r="H566" i="2"/>
  <c r="H153" i="2"/>
  <c r="H191" i="2"/>
  <c r="H345" i="2"/>
  <c r="H346" i="2"/>
  <c r="H348" i="2"/>
  <c r="H903" i="2"/>
  <c r="H259" i="2"/>
  <c r="H327" i="2"/>
  <c r="H217" i="2"/>
  <c r="H148" i="2"/>
  <c r="H266" i="2"/>
  <c r="H412" i="2"/>
  <c r="H70" i="2"/>
  <c r="H499" i="2"/>
  <c r="H815" i="2"/>
  <c r="H771" i="2"/>
  <c r="H854" i="2"/>
  <c r="H826" i="2"/>
  <c r="H170" i="2"/>
  <c r="H344" i="2"/>
  <c r="H205" i="2"/>
  <c r="H264" i="2"/>
  <c r="H966" i="2"/>
  <c r="H830" i="2"/>
  <c r="H691" i="2"/>
  <c r="H163" i="2"/>
  <c r="H319" i="2"/>
  <c r="H495" i="2"/>
  <c r="H905" i="2"/>
  <c r="H726" i="2"/>
  <c r="H34" i="2"/>
  <c r="H887" i="2"/>
  <c r="H119" i="2"/>
  <c r="H413" i="2"/>
  <c r="H122" i="2"/>
  <c r="H1005" i="2"/>
  <c r="H254" i="2"/>
  <c r="H963" i="2"/>
  <c r="H309" i="2"/>
  <c r="H124" i="2"/>
  <c r="H552" i="2"/>
  <c r="H576" i="2"/>
  <c r="H455" i="2"/>
  <c r="H950" i="2"/>
  <c r="H293" i="2"/>
  <c r="H139" i="2"/>
  <c r="H226" i="2"/>
  <c r="H951" i="2"/>
  <c r="H836" i="2"/>
  <c r="H40" i="2"/>
  <c r="H404" i="2"/>
  <c r="H621" i="2"/>
  <c r="H231" i="2"/>
  <c r="H507" i="2"/>
  <c r="H1011" i="2"/>
  <c r="H642" i="2"/>
  <c r="H73" i="2"/>
  <c r="H463" i="2"/>
  <c r="H336" i="2"/>
  <c r="H1009" i="2"/>
  <c r="H26" i="2"/>
  <c r="H846" i="2"/>
  <c r="H1015" i="2"/>
  <c r="H386" i="2"/>
  <c r="H890" i="2"/>
  <c r="H284" i="2"/>
  <c r="H977" i="2"/>
  <c r="H803" i="2"/>
  <c r="H1016" i="2"/>
  <c r="H232" i="2"/>
  <c r="H670" i="2"/>
  <c r="H1012" i="2"/>
  <c r="H487" i="2"/>
  <c r="H780" i="2"/>
  <c r="H42" i="2"/>
  <c r="H795" i="2"/>
  <c r="H716" i="2"/>
  <c r="H564" i="2"/>
  <c r="H718" i="2"/>
  <c r="H210" i="2"/>
  <c r="H331" i="2"/>
  <c r="H679" i="2"/>
  <c r="H717" i="2"/>
  <c r="H913" i="2"/>
  <c r="H841" i="2"/>
  <c r="H19" i="2"/>
  <c r="H173" i="2"/>
  <c r="H174" i="2"/>
  <c r="H118" i="2"/>
  <c r="H924" i="2"/>
  <c r="H734" i="2"/>
  <c r="H81" i="2"/>
  <c r="H82" i="2"/>
  <c r="H733" i="2"/>
  <c r="H47" i="2"/>
  <c r="H730" i="2"/>
  <c r="H419" i="2"/>
  <c r="H937" i="2"/>
  <c r="H624" i="2"/>
  <c r="H288" i="2"/>
  <c r="H235" i="2"/>
  <c r="H16" i="2"/>
  <c r="H750" i="2"/>
  <c r="H938" i="2"/>
  <c r="H80" i="2"/>
  <c r="H565" i="2"/>
  <c r="H738" i="2"/>
  <c r="H307" i="2"/>
  <c r="H727" i="2"/>
  <c r="H505" i="2"/>
  <c r="H735" i="2"/>
  <c r="H441" i="2"/>
  <c r="H106" i="2"/>
  <c r="H712" i="2"/>
  <c r="H3" i="2"/>
  <c r="H886" i="2"/>
  <c r="H759" i="2"/>
  <c r="H932" i="2"/>
  <c r="H965" i="2"/>
  <c r="H784" i="2"/>
  <c r="H291" i="2"/>
  <c r="H228" i="2"/>
  <c r="H742" i="2"/>
  <c r="H30" i="2"/>
  <c r="H748" i="2"/>
  <c r="H752" i="2"/>
  <c r="H982" i="2"/>
  <c r="H983" i="2"/>
  <c r="H753" i="2"/>
  <c r="H457" i="2"/>
  <c r="H761" i="2"/>
  <c r="H986" i="2"/>
  <c r="H749" i="2"/>
  <c r="H754" i="2"/>
  <c r="H49" i="2"/>
  <c r="H958" i="2"/>
  <c r="H959" i="2"/>
  <c r="H837" i="2"/>
  <c r="H838" i="2"/>
  <c r="H52" i="2"/>
  <c r="H768" i="2"/>
  <c r="H158" i="2"/>
  <c r="H318" i="2"/>
  <c r="H684" i="2"/>
  <c r="H369" i="2"/>
  <c r="H370" i="2"/>
  <c r="H145" i="2"/>
  <c r="H801" i="2"/>
  <c r="H188" i="2"/>
  <c r="H189" i="2"/>
  <c r="H639" i="2"/>
  <c r="H471" i="2"/>
  <c r="H382" i="2"/>
  <c r="H2" i="2"/>
  <c r="H233" i="2"/>
  <c r="H379" i="2"/>
  <c r="H519" i="2"/>
  <c r="H37" i="2"/>
  <c r="H443" i="2"/>
  <c r="H444" i="2"/>
  <c r="H831" i="2"/>
  <c r="H917" i="2"/>
  <c r="H62" i="2"/>
  <c r="H64" i="2"/>
  <c r="H619" i="2"/>
  <c r="H569" i="2"/>
  <c r="H206" i="2"/>
  <c r="H570" i="2"/>
  <c r="H857" i="2"/>
  <c r="H445" i="2"/>
  <c r="H916" i="2"/>
  <c r="H915" i="2"/>
  <c r="H571" i="2"/>
  <c r="H63" i="2"/>
  <c r="H676" i="2"/>
  <c r="H442" i="2"/>
  <c r="H568" i="2"/>
  <c r="H230" i="2"/>
  <c r="H773" i="2"/>
  <c r="H511" i="2"/>
  <c r="H514" i="2"/>
  <c r="H844" i="2"/>
  <c r="H779" i="2"/>
  <c r="H295" i="2"/>
  <c r="H755" i="2"/>
  <c r="H517" i="2"/>
  <c r="H870" i="2"/>
  <c r="H613" i="2"/>
  <c r="H775" i="2"/>
  <c r="H516" i="2"/>
  <c r="H509" i="2"/>
  <c r="H668" i="2"/>
  <c r="H383" i="2"/>
  <c r="H911" i="2"/>
  <c r="H650" i="2"/>
  <c r="H482" i="2"/>
  <c r="H778" i="2"/>
  <c r="H114" i="2"/>
  <c r="H512" i="2"/>
  <c r="H510" i="2"/>
  <c r="H279" i="2"/>
  <c r="H427" i="2"/>
  <c r="H330" i="2"/>
  <c r="H757" i="2"/>
  <c r="H669" i="2"/>
  <c r="H96" i="2"/>
  <c r="H882" i="2"/>
  <c r="H66" i="2"/>
  <c r="H883" i="2"/>
  <c r="H294" i="2"/>
  <c r="H33" i="2"/>
  <c r="H301" i="2"/>
  <c r="H462" i="2"/>
  <c r="H194" i="2"/>
  <c r="H520" i="2"/>
  <c r="H602" i="2"/>
  <c r="H333" i="2"/>
  <c r="H863" i="2"/>
  <c r="H845" i="2"/>
  <c r="H785" i="2"/>
  <c r="H662" i="2"/>
  <c r="H611" i="2"/>
  <c r="H740" i="2"/>
  <c r="H633" i="2"/>
  <c r="H415" i="2"/>
  <c r="H391" i="2"/>
  <c r="H10" i="2"/>
  <c r="H422" i="2"/>
  <c r="H898" i="2"/>
  <c r="H234" i="2"/>
  <c r="H483" i="2"/>
  <c r="H832" i="2"/>
  <c r="H980" i="2"/>
  <c r="H904" i="2"/>
  <c r="H500" i="2"/>
  <c r="H649" i="2"/>
  <c r="H8" i="2"/>
  <c r="H496" i="2"/>
  <c r="H281" i="2"/>
  <c r="H204" i="2"/>
  <c r="H707" i="2"/>
  <c r="H426" i="2"/>
  <c r="H777" i="2"/>
  <c r="H999" i="2"/>
  <c r="H710" i="2"/>
  <c r="H423" i="2"/>
  <c r="H328" i="2"/>
  <c r="H329" i="2"/>
  <c r="H847" i="2"/>
  <c r="H35" i="2"/>
  <c r="H275" i="2"/>
  <c r="H184" i="2"/>
  <c r="H186" i="2"/>
  <c r="H944" i="2"/>
  <c r="H797" i="2"/>
  <c r="H636" i="2"/>
  <c r="H84" i="2"/>
  <c r="H98" i="2"/>
  <c r="H862" i="2"/>
  <c r="H136" i="2"/>
  <c r="H276" i="2"/>
  <c r="H782" i="2"/>
  <c r="H647" i="2"/>
  <c r="H274" i="2"/>
  <c r="H855" i="2"/>
  <c r="H85" i="2"/>
  <c r="H432" i="2"/>
  <c r="H967" i="2"/>
  <c r="H431" i="2"/>
  <c r="H69" i="2"/>
  <c r="H447" i="2"/>
  <c r="H667" i="2"/>
  <c r="H109" i="2"/>
  <c r="H888" i="2"/>
  <c r="H271" i="2"/>
  <c r="H821" i="2"/>
  <c r="H175" i="2"/>
  <c r="H664" i="2"/>
  <c r="H884" i="2"/>
  <c r="H484" i="2"/>
  <c r="H776" i="2"/>
  <c r="H530" i="2"/>
  <c r="H936" i="2"/>
  <c r="H812" i="2"/>
  <c r="H918" i="2"/>
  <c r="H781" i="2"/>
  <c r="H308" i="2"/>
  <c r="H635" i="2"/>
  <c r="H225" i="2"/>
  <c r="H567" i="2"/>
  <c r="H138" i="2"/>
  <c r="H32" i="2"/>
  <c r="H88" i="2"/>
  <c r="H470" i="2"/>
  <c r="H392" i="2"/>
  <c r="H532" i="2"/>
  <c r="H975" i="2"/>
  <c r="H531" i="2"/>
  <c r="H973" i="2"/>
  <c r="H535" i="2"/>
  <c r="H534" i="2"/>
  <c r="H539" i="2"/>
  <c r="H533" i="2"/>
  <c r="H542" i="2"/>
  <c r="H538" i="2"/>
  <c r="H536" i="2"/>
  <c r="H674" i="2"/>
  <c r="H12" i="2"/>
  <c r="H11" i="2"/>
  <c r="H617" i="2"/>
  <c r="H380" i="2"/>
  <c r="H381" i="2"/>
  <c r="H659" i="2"/>
  <c r="H800" i="2"/>
  <c r="H873" i="2"/>
  <c r="H112" i="2"/>
  <c r="H544" i="2"/>
  <c r="H518" i="2"/>
  <c r="H59" i="2"/>
  <c r="H1013" i="2"/>
  <c r="H984" i="2"/>
  <c r="H575" i="2"/>
  <c r="H513" i="2"/>
  <c r="H408" i="2"/>
  <c r="H430" i="2"/>
  <c r="H1014" i="2"/>
  <c r="H227" i="2"/>
  <c r="H582" i="2"/>
  <c r="H876" i="2"/>
  <c r="H494" i="2"/>
  <c r="H110" i="2"/>
  <c r="H933" i="2"/>
  <c r="H934" i="2"/>
  <c r="H242" i="2"/>
  <c r="H608" i="2"/>
  <c r="H243" i="2"/>
  <c r="H449" i="2"/>
  <c r="H906" i="2"/>
  <c r="H257" i="2"/>
  <c r="H584" i="2"/>
  <c r="H878" i="2"/>
  <c r="H356" i="2"/>
  <c r="H550" i="2"/>
  <c r="H305" i="2"/>
  <c r="H126" i="2"/>
  <c r="H128" i="2"/>
  <c r="H36" i="2"/>
  <c r="H86" i="2"/>
  <c r="H540" i="2"/>
  <c r="H956" i="2"/>
  <c r="H537" i="2"/>
  <c r="H354" i="2"/>
  <c r="H400" i="2"/>
  <c r="H481" i="2"/>
  <c r="H123" i="2"/>
  <c r="H834" i="2"/>
  <c r="H640" i="2"/>
  <c r="H741" i="2"/>
  <c r="H581" i="2"/>
  <c r="H181" i="2"/>
  <c r="H634" i="2"/>
  <c r="H504" i="2"/>
  <c r="H609" i="2"/>
  <c r="H685" i="2"/>
  <c r="H515" i="2"/>
  <c r="H160" i="2"/>
  <c r="H272" i="2"/>
  <c r="H407" i="2"/>
  <c r="H648" i="2"/>
  <c r="H384" i="2"/>
  <c r="H756" i="2"/>
  <c r="H996" i="2"/>
  <c r="H810" i="2"/>
  <c r="H193" i="2"/>
  <c r="H299" i="2"/>
  <c r="H421" i="2"/>
  <c r="H425" i="2"/>
  <c r="H865" i="2"/>
  <c r="H971" i="2"/>
  <c r="H907" i="2"/>
  <c r="H969" i="2"/>
  <c r="H808" i="2"/>
  <c r="H451" i="2"/>
  <c r="H671" i="2"/>
  <c r="H783" i="2"/>
  <c r="H912" i="2"/>
  <c r="H416" i="2"/>
  <c r="H263" i="2"/>
  <c r="H744" i="2"/>
  <c r="H506" i="2"/>
  <c r="H1010" i="2"/>
  <c r="H337" i="2"/>
  <c r="H362" i="2"/>
  <c r="H708" i="2"/>
  <c r="H237" i="2"/>
  <c r="H769" i="2"/>
  <c r="H192" i="2"/>
  <c r="H316" i="2"/>
  <c r="H497" i="2"/>
  <c r="H343" i="2"/>
  <c r="H658" i="2"/>
  <c r="H374" i="2"/>
  <c r="H476" i="2"/>
  <c r="H651" i="2"/>
  <c r="H751" i="2"/>
  <c r="H629" i="2"/>
  <c r="H732" i="2"/>
  <c r="H731" i="2"/>
  <c r="H102" i="2"/>
  <c r="H1004" i="2"/>
  <c r="H304" i="2"/>
  <c r="H117" i="2"/>
  <c r="H326" i="2"/>
  <c r="H961" i="2"/>
  <c r="H714" i="2"/>
  <c r="H672" i="2"/>
  <c r="H132" i="2"/>
  <c r="H1002" i="2"/>
  <c r="H557" i="2"/>
  <c r="H987" i="2"/>
  <c r="H807" i="2"/>
  <c r="H113" i="2"/>
  <c r="H543" i="2"/>
  <c r="H93" i="2"/>
  <c r="H957" i="2"/>
  <c r="H355" i="2"/>
  <c r="H321" i="2"/>
  <c r="H1003" i="2"/>
  <c r="H23" i="2"/>
  <c r="H406" i="2"/>
  <c r="H278" i="2"/>
  <c r="H399" i="2"/>
  <c r="H713" i="2"/>
  <c r="H385" i="2"/>
  <c r="H627" i="2"/>
  <c r="H705" i="2"/>
  <c r="H578" i="2"/>
  <c r="H923" i="2"/>
  <c r="H201" i="2"/>
  <c r="H498" i="2"/>
  <c r="H315" i="2"/>
  <c r="H349" i="2"/>
  <c r="H95" i="2"/>
  <c r="H190" i="2"/>
  <c r="H53" i="2"/>
  <c r="H103" i="2"/>
  <c r="H736" i="2"/>
  <c r="H211" i="2"/>
  <c r="H610" i="2"/>
  <c r="H332" i="2"/>
  <c r="H22" i="2"/>
  <c r="H357" i="2"/>
  <c r="H656" i="2"/>
  <c r="H508" i="2"/>
  <c r="H1008" i="2"/>
  <c r="H152" i="2"/>
  <c r="H297" i="2"/>
  <c r="H159" i="2"/>
  <c r="H631" i="2"/>
  <c r="H874" i="2"/>
  <c r="H450" i="2"/>
  <c r="H480" i="2"/>
  <c r="H908" i="2"/>
  <c r="H396" i="2"/>
  <c r="H868" i="2"/>
  <c r="H549" i="2"/>
  <c r="H116" i="2"/>
  <c r="H561" i="2"/>
  <c r="H244" i="2"/>
  <c r="H995" i="2"/>
  <c r="H20" i="2"/>
  <c r="H324" i="2"/>
  <c r="H585" i="2"/>
  <c r="H367" i="2"/>
  <c r="H989" i="2"/>
  <c r="H728" i="2"/>
  <c r="H79" i="2"/>
  <c r="H486" i="2"/>
  <c r="H964" i="2"/>
  <c r="H39" i="2"/>
  <c r="H277" i="2"/>
  <c r="H990" i="2"/>
  <c r="H350" i="2"/>
  <c r="H645" i="2"/>
  <c r="H852" i="2"/>
  <c r="H851" i="2"/>
  <c r="H574" i="2"/>
  <c r="H573" i="2"/>
  <c r="H678" i="2"/>
  <c r="H474" i="2"/>
  <c r="H875" i="2"/>
  <c r="H240" i="2"/>
  <c r="H241" i="2"/>
  <c r="H161" i="2"/>
  <c r="H162" i="2"/>
  <c r="H428" i="2"/>
  <c r="H429" i="2"/>
  <c r="H359" i="2"/>
  <c r="H361" i="2"/>
  <c r="H360" i="2"/>
  <c r="H988" i="2"/>
  <c r="H900" i="2"/>
  <c r="H901" i="2"/>
  <c r="H523" i="2"/>
  <c r="H180" i="2"/>
  <c r="H129" i="2"/>
  <c r="H700" i="2"/>
  <c r="H437" i="2"/>
  <c r="H940" i="2"/>
  <c r="H473" i="2"/>
  <c r="H853" i="2"/>
  <c r="H147" i="2"/>
  <c r="H899" i="2"/>
  <c r="H58" i="2"/>
  <c r="H745" i="2"/>
  <c r="H746" i="2"/>
  <c r="H747" i="2"/>
  <c r="H48" i="2"/>
  <c r="H848" i="2"/>
  <c r="H850" i="2"/>
  <c r="H849" i="2"/>
  <c r="H9" i="2"/>
  <c r="H618" i="2"/>
  <c r="H696" i="2"/>
  <c r="H931" i="2"/>
  <c r="H762" i="2"/>
  <c r="H489" i="2"/>
  <c r="H556" i="2"/>
  <c r="H698" i="2"/>
  <c r="H541" i="2"/>
  <c r="H697" i="2"/>
  <c r="H342" i="2"/>
  <c r="H711" i="2"/>
  <c r="H55" i="2"/>
  <c r="H764" i="2"/>
  <c r="H215" i="2"/>
  <c r="H477" i="2"/>
  <c r="H365" i="2"/>
  <c r="H809" i="2"/>
  <c r="H303" i="2"/>
  <c r="H702" i="2"/>
  <c r="H563" i="2"/>
  <c r="H725" i="2"/>
  <c r="H115" i="2"/>
  <c r="H253" i="2"/>
  <c r="H378" i="2"/>
  <c r="H51" i="2"/>
  <c r="H889" i="2"/>
  <c r="H528" i="2"/>
  <c r="H527" i="2"/>
  <c r="H529" i="2"/>
  <c r="H262" i="2"/>
  <c r="H945" i="2"/>
  <c r="H673" i="2"/>
  <c r="H547" i="2"/>
  <c r="H895" i="2"/>
  <c r="H804" i="2"/>
  <c r="H693" i="2"/>
  <c r="H798" i="2"/>
  <c r="H799" i="2"/>
  <c r="H946" i="2"/>
  <c r="H133" i="2"/>
  <c r="H1006" i="2"/>
  <c r="H1007" i="2"/>
  <c r="H842" i="2"/>
  <c r="H941" i="2"/>
  <c r="H57" i="2"/>
  <c r="H239" i="2"/>
  <c r="H562" i="2"/>
  <c r="H469" i="2"/>
  <c r="H436" i="2"/>
  <c r="H24" i="2"/>
  <c r="H525" i="2"/>
  <c r="H171" i="2"/>
  <c r="H843" i="2"/>
  <c r="H220" i="2"/>
  <c r="H643" i="2"/>
  <c r="H219" i="2"/>
  <c r="H840" i="2"/>
  <c r="H199" i="2"/>
  <c r="H802" i="2"/>
  <c r="H435" i="2"/>
  <c r="H856" i="2"/>
  <c r="H43" i="2"/>
  <c r="H526" i="2"/>
  <c r="H310" i="2"/>
  <c r="H615" i="2"/>
  <c r="H440" i="2"/>
  <c r="H859" i="2"/>
  <c r="H177" i="2"/>
  <c r="H176" i="2"/>
  <c r="H858" i="2"/>
  <c r="H522" i="2"/>
  <c r="H763" i="2"/>
  <c r="H439" i="2"/>
  <c r="H978" i="2"/>
  <c r="H521" i="2"/>
  <c r="H249" i="2"/>
  <c r="H248" i="2"/>
  <c r="H251" i="2"/>
  <c r="H252" i="2"/>
  <c r="H644" i="2"/>
  <c r="H811" i="2"/>
  <c r="H433" i="2"/>
  <c r="H156" i="2"/>
  <c r="H953" i="2"/>
  <c r="H25" i="2"/>
  <c r="H724" i="2"/>
  <c r="H390" i="2"/>
  <c r="H663" i="2"/>
  <c r="H607" i="2"/>
  <c r="H979" i="2"/>
  <c r="H652" i="2"/>
  <c r="H468" i="2"/>
  <c r="H466" i="2"/>
  <c r="H464" i="2"/>
  <c r="H467" i="2"/>
  <c r="H600" i="2"/>
  <c r="H824" i="2"/>
  <c r="H572" i="2"/>
  <c r="H601" i="2"/>
  <c r="H616" i="2"/>
  <c r="H721" i="2"/>
  <c r="H720" i="2"/>
  <c r="H976" i="2"/>
  <c r="H197" i="2"/>
  <c r="H339" i="2"/>
  <c r="H992" i="2"/>
  <c r="H402" i="2"/>
  <c r="H806" i="2"/>
  <c r="H18" i="2"/>
  <c r="H364" i="2"/>
  <c r="H167" i="2"/>
  <c r="H196" i="2"/>
  <c r="H583" i="2"/>
  <c r="H632" i="2"/>
  <c r="H465" i="2"/>
  <c r="H591" i="2"/>
  <c r="H593" i="2"/>
  <c r="H960" i="2"/>
  <c r="H27" i="2"/>
  <c r="H588" i="2"/>
  <c r="H939" i="2"/>
  <c r="H722" i="2"/>
  <c r="H614" i="2"/>
  <c r="H77" i="2"/>
  <c r="H459" i="2"/>
  <c r="H285" i="2"/>
  <c r="H258" i="2"/>
  <c r="H127" i="2"/>
  <c r="H366" i="2"/>
  <c r="H935" i="2"/>
  <c r="H949" i="2"/>
  <c r="H434" i="2"/>
  <c r="H418" i="2"/>
  <c r="H377" i="2"/>
  <c r="H694" i="2"/>
  <c r="H229" i="2"/>
  <c r="H185" i="2"/>
  <c r="H183" i="2"/>
  <c r="H638" i="2"/>
  <c r="H4" i="2"/>
  <c r="H409" i="2"/>
  <c r="H490" i="2"/>
  <c r="H787" i="2"/>
  <c r="H665" i="2"/>
  <c r="H287" i="2"/>
  <c r="H687" i="2"/>
  <c r="H818" i="2"/>
  <c r="H817" i="2"/>
  <c r="H819" i="2"/>
  <c r="H820" i="2"/>
  <c r="H5" i="2"/>
  <c r="H794" i="2"/>
  <c r="H501" i="2"/>
  <c r="H502" i="2"/>
  <c r="H704" i="2"/>
  <c r="H250" i="2"/>
  <c r="H6" i="2"/>
  <c r="H688" i="2"/>
  <c r="H491" i="2"/>
  <c r="H743" i="2"/>
  <c r="H172" i="2"/>
  <c r="H970" i="2"/>
  <c r="H991" i="2"/>
  <c r="H50" i="2"/>
  <c r="H587" i="2"/>
  <c r="H595" i="2"/>
  <c r="H209" i="2"/>
  <c r="H580" i="2"/>
  <c r="H296" i="2"/>
  <c r="H283" i="2"/>
  <c r="H290" i="2"/>
  <c r="H947" i="2"/>
  <c r="H789" i="2"/>
  <c r="H255" i="2"/>
  <c r="H943" i="2"/>
  <c r="H942" i="2"/>
  <c r="H786" i="2"/>
  <c r="H628" i="2"/>
  <c r="H165" i="2"/>
  <c r="H218" i="2"/>
  <c r="H816" i="2"/>
  <c r="H216" i="2"/>
  <c r="H17" i="2"/>
  <c r="H972" i="2"/>
  <c r="H968" i="2"/>
  <c r="H203" i="2"/>
  <c r="H60" i="2"/>
  <c r="H438" i="2"/>
  <c r="H860" i="2"/>
  <c r="H78" i="2"/>
  <c r="H861" i="2"/>
  <c r="H478" i="2"/>
  <c r="H292" i="2"/>
  <c r="H448" i="2"/>
  <c r="H460" i="2"/>
  <c r="H140" i="2"/>
  <c r="H689" i="2"/>
  <c r="H709" i="2"/>
  <c r="H202" i="2"/>
  <c r="H56" i="2"/>
  <c r="H892" i="2"/>
  <c r="H388" i="2"/>
  <c r="H703" i="2"/>
  <c r="H389" i="2"/>
  <c r="H894" i="2"/>
  <c r="H893" i="2"/>
  <c r="H677" i="2"/>
  <c r="H814" i="2"/>
  <c r="H493" i="2"/>
  <c r="H864" i="2"/>
  <c r="H41" i="2"/>
  <c r="H280" i="2"/>
  <c r="H452" i="2"/>
  <c r="H166" i="2"/>
  <c r="H130" i="2"/>
  <c r="H187" i="2"/>
  <c r="H788" i="2"/>
  <c r="H212" i="2"/>
  <c r="H320" i="2"/>
  <c r="H76" i="2"/>
  <c r="H699" i="2"/>
  <c r="H311" i="2"/>
  <c r="H909" i="2"/>
  <c r="H461" i="2"/>
  <c r="H289" i="2"/>
  <c r="H87" i="2"/>
  <c r="H38" i="2"/>
  <c r="H270" i="2"/>
  <c r="H597" i="2"/>
  <c r="H598" i="2"/>
  <c r="H590" i="2"/>
  <c r="H589" i="2"/>
  <c r="H594" i="2"/>
  <c r="H592" i="2"/>
  <c r="H596" i="2"/>
  <c r="H599" i="2"/>
  <c r="H586" i="2"/>
  <c r="H298" i="2"/>
  <c r="H706" i="2"/>
  <c r="H395" i="2"/>
  <c r="H454" i="2"/>
  <c r="H341" i="2"/>
  <c r="H45" i="2"/>
  <c r="H503" i="2"/>
  <c r="H245" i="2"/>
  <c r="H401" i="2"/>
  <c r="H65" i="2"/>
  <c r="H111" i="2"/>
  <c r="H29" i="2"/>
  <c r="H363" i="2"/>
  <c r="H793" i="2"/>
  <c r="H902" i="2"/>
  <c r="H579" i="2"/>
  <c r="H822" i="2"/>
  <c r="H823" i="2"/>
  <c r="H200" i="2"/>
  <c r="H83" i="2"/>
  <c r="H686" i="2"/>
  <c r="H150" i="2"/>
  <c r="H866" i="2"/>
  <c r="H661" i="2"/>
  <c r="H179" i="2"/>
  <c r="H948" i="2"/>
  <c r="H637" i="2"/>
  <c r="H282" i="2"/>
  <c r="H993" i="2"/>
  <c r="H151" i="2"/>
  <c r="H952" i="2"/>
  <c r="H238" i="2"/>
  <c r="H548" i="2"/>
  <c r="H680" i="2"/>
  <c r="H910" i="2"/>
  <c r="H796" i="2"/>
  <c r="H695" i="2"/>
  <c r="H791" i="2"/>
  <c r="H792" i="2"/>
  <c r="H7" i="2"/>
  <c r="H414" i="2"/>
  <c r="H545" i="2"/>
  <c r="H394" i="2"/>
  <c r="H1017" i="2"/>
  <c r="H555" i="2"/>
  <c r="H67" i="2"/>
  <c r="H68" i="2"/>
  <c r="H142" i="2"/>
  <c r="H655" i="2"/>
  <c r="H373" i="2"/>
  <c r="H881" i="2"/>
  <c r="H488" i="2"/>
  <c r="H317" i="2"/>
  <c r="H120" i="2"/>
  <c r="H13" i="2"/>
  <c r="H405" i="2"/>
  <c r="H141" i="2"/>
  <c r="H100" i="2"/>
  <c r="H61" i="2"/>
  <c r="H839" i="2"/>
  <c r="H805" i="2"/>
  <c r="H835" i="2"/>
  <c r="H334" i="2"/>
  <c r="H143" i="2"/>
  <c r="H524" i="2"/>
  <c r="H261" i="2"/>
  <c r="H351" i="2"/>
  <c r="H472" i="2"/>
  <c r="H134" i="2"/>
  <c r="H885" i="2"/>
  <c r="H358" i="2"/>
  <c r="H90" i="2"/>
  <c r="H94" i="2"/>
  <c r="H623" i="2"/>
  <c r="H89" i="2"/>
  <c r="H91" i="2"/>
  <c r="H92" i="2"/>
  <c r="H137" i="2"/>
  <c r="H15" i="2"/>
  <c r="H198" i="2"/>
  <c r="H182" i="2"/>
  <c r="H178" i="2"/>
  <c r="H646" i="2"/>
  <c r="H168" i="2"/>
  <c r="H398" i="2"/>
  <c r="H75" i="2"/>
  <c r="H827" i="2"/>
  <c r="H335" i="2"/>
  <c r="H681" i="2"/>
  <c r="H97" i="2"/>
  <c r="H99" i="2"/>
  <c r="H551" i="2"/>
  <c r="H246" i="2"/>
  <c r="H682" i="2"/>
  <c r="H352" i="2"/>
  <c r="H146" i="2"/>
  <c r="H164" i="2"/>
  <c r="H267" i="2"/>
  <c r="H475" i="2"/>
  <c r="H420" i="2"/>
  <c r="H729" i="2"/>
  <c r="H739" i="2"/>
  <c r="H606" i="2"/>
  <c r="H719" i="2"/>
  <c r="H46" i="2"/>
  <c r="H813" i="2"/>
  <c r="H375" i="2"/>
  <c r="H994" i="2"/>
  <c r="H657" i="2"/>
  <c r="H410" i="2"/>
  <c r="H286" i="2"/>
  <c r="H692" i="2"/>
  <c r="H155" i="2"/>
  <c r="H131" i="2"/>
  <c r="H790" i="2"/>
  <c r="H456" i="2"/>
  <c r="H760" i="2"/>
  <c r="H690" i="2"/>
  <c r="G897" i="2"/>
  <c r="G604" i="2"/>
  <c r="G265" i="2"/>
  <c r="G1001" i="2"/>
  <c r="G208" i="2"/>
  <c r="G828" i="2"/>
  <c r="G605" i="2"/>
  <c r="G21" i="2"/>
  <c r="G767" i="2"/>
  <c r="G701" i="2"/>
  <c r="G612" i="2"/>
  <c r="G154" i="2"/>
  <c r="G74" i="2"/>
  <c r="G376" i="2"/>
  <c r="G919" i="2"/>
  <c r="G105" i="2"/>
  <c r="G974" i="2"/>
  <c r="G347" i="2"/>
  <c r="G675" i="2"/>
  <c r="G546" i="2"/>
  <c r="G653" i="2"/>
  <c r="G577" i="2"/>
  <c r="G323" i="2"/>
  <c r="G962" i="2"/>
  <c r="G213" i="2"/>
  <c r="G922" i="2"/>
  <c r="G387" i="2"/>
  <c r="G921" i="2"/>
  <c r="G723" i="2"/>
  <c r="G31" i="2"/>
  <c r="G101" i="2"/>
  <c r="G144" i="2"/>
  <c r="G236" i="2"/>
  <c r="G269" i="2"/>
  <c r="G397" i="2"/>
  <c r="G149" i="2"/>
  <c r="G125" i="2"/>
  <c r="G981" i="2"/>
  <c r="G770" i="2"/>
  <c r="G683" i="2"/>
  <c r="G869" i="2"/>
  <c r="G371" i="2"/>
  <c r="G312" i="2"/>
  <c r="G871" i="2"/>
  <c r="G622" i="2"/>
  <c r="G72" i="2"/>
  <c r="G403" i="2"/>
  <c r="G353" i="2"/>
  <c r="G14" i="2"/>
  <c r="G955" i="2"/>
  <c r="G338" i="2"/>
  <c r="G479" i="2"/>
  <c r="G313" i="2"/>
  <c r="G872" i="2"/>
  <c r="G666" i="2"/>
  <c r="G411" i="2"/>
  <c r="G214" i="2"/>
  <c r="G891" i="2"/>
  <c r="G221" i="2"/>
  <c r="G765" i="2"/>
  <c r="G300" i="2"/>
  <c r="G302" i="2"/>
  <c r="G925" i="2"/>
  <c r="G927" i="2"/>
  <c r="G222" i="2"/>
  <c r="G554" i="2"/>
  <c r="G107" i="2"/>
  <c r="G108" i="2"/>
  <c r="G71" i="2"/>
  <c r="G446" i="2"/>
  <c r="G372" i="2"/>
  <c r="G879" i="2"/>
  <c r="G207" i="2"/>
  <c r="G985" i="2"/>
  <c r="G28" i="2"/>
  <c r="G247" i="2"/>
  <c r="G224" i="2"/>
  <c r="G223" i="2"/>
  <c r="G641" i="2"/>
  <c r="G195" i="2"/>
  <c r="G424" i="2"/>
  <c r="G453" i="2"/>
  <c r="G157" i="2"/>
  <c r="G766" i="2"/>
  <c r="G737" i="2"/>
  <c r="G630" i="2"/>
  <c r="G44" i="2"/>
  <c r="G260" i="2"/>
  <c r="G930" i="2"/>
  <c r="G926" i="2"/>
  <c r="G928" i="2"/>
  <c r="G929" i="2"/>
  <c r="G553" i="2"/>
  <c r="G998" i="2"/>
  <c r="G867" i="2"/>
  <c r="G914" i="2"/>
  <c r="G560" i="2"/>
  <c r="G559" i="2"/>
  <c r="G558" i="2"/>
  <c r="G825" i="2"/>
  <c r="G417" i="2"/>
  <c r="G169" i="2"/>
  <c r="G997" i="2"/>
  <c r="G603" i="2"/>
  <c r="G774" i="2"/>
  <c r="G458" i="2"/>
  <c r="G393" i="2"/>
  <c r="G660" i="2"/>
  <c r="G772" i="2"/>
  <c r="G920" i="2"/>
  <c r="G340" i="2"/>
  <c r="G492" i="2"/>
  <c r="G368" i="2"/>
  <c r="G833" i="2"/>
  <c r="G877" i="2"/>
  <c r="G654" i="2"/>
  <c r="G273" i="2"/>
  <c r="G758" i="2"/>
  <c r="G625" i="2"/>
  <c r="G268" i="2"/>
  <c r="G715" i="2"/>
  <c r="G322" i="2"/>
  <c r="G954" i="2"/>
  <c r="G314" i="2"/>
  <c r="G626" i="2"/>
  <c r="G880" i="2"/>
  <c r="G54" i="2"/>
  <c r="G256" i="2"/>
  <c r="G620" i="2"/>
  <c r="G325" i="2"/>
  <c r="G829" i="2"/>
  <c r="G485" i="2"/>
  <c r="G1000" i="2"/>
  <c r="G896" i="2"/>
  <c r="G306" i="2"/>
  <c r="G121" i="2"/>
  <c r="G104" i="2"/>
  <c r="G135" i="2"/>
  <c r="G566" i="2"/>
  <c r="G153" i="2"/>
  <c r="G191" i="2"/>
  <c r="G345" i="2"/>
  <c r="G346" i="2"/>
  <c r="G348" i="2"/>
  <c r="G903" i="2"/>
  <c r="G259" i="2"/>
  <c r="G327" i="2"/>
  <c r="G217" i="2"/>
  <c r="G148" i="2"/>
  <c r="G266" i="2"/>
  <c r="G412" i="2"/>
  <c r="G70" i="2"/>
  <c r="G499" i="2"/>
  <c r="G815" i="2"/>
  <c r="G771" i="2"/>
  <c r="G854" i="2"/>
  <c r="G826" i="2"/>
  <c r="G170" i="2"/>
  <c r="G344" i="2"/>
  <c r="G205" i="2"/>
  <c r="G264" i="2"/>
  <c r="G966" i="2"/>
  <c r="G830" i="2"/>
  <c r="G691" i="2"/>
  <c r="G163" i="2"/>
  <c r="G319" i="2"/>
  <c r="G495" i="2"/>
  <c r="G905" i="2"/>
  <c r="G726" i="2"/>
  <c r="G34" i="2"/>
  <c r="G887" i="2"/>
  <c r="G119" i="2"/>
  <c r="G413" i="2"/>
  <c r="G122" i="2"/>
  <c r="G1005" i="2"/>
  <c r="G254" i="2"/>
  <c r="G963" i="2"/>
  <c r="G309" i="2"/>
  <c r="G124" i="2"/>
  <c r="G552" i="2"/>
  <c r="G576" i="2"/>
  <c r="G455" i="2"/>
  <c r="G950" i="2"/>
  <c r="G293" i="2"/>
  <c r="G139" i="2"/>
  <c r="G226" i="2"/>
  <c r="G951" i="2"/>
  <c r="G836" i="2"/>
  <c r="G40" i="2"/>
  <c r="G404" i="2"/>
  <c r="G621" i="2"/>
  <c r="G231" i="2"/>
  <c r="G507" i="2"/>
  <c r="G1011" i="2"/>
  <c r="G642" i="2"/>
  <c r="G73" i="2"/>
  <c r="G463" i="2"/>
  <c r="G336" i="2"/>
  <c r="G1009" i="2"/>
  <c r="G26" i="2"/>
  <c r="G846" i="2"/>
  <c r="G1015" i="2"/>
  <c r="G386" i="2"/>
  <c r="G890" i="2"/>
  <c r="G284" i="2"/>
  <c r="G977" i="2"/>
  <c r="G803" i="2"/>
  <c r="G1016" i="2"/>
  <c r="G232" i="2"/>
  <c r="G670" i="2"/>
  <c r="G1012" i="2"/>
  <c r="G487" i="2"/>
  <c r="G780" i="2"/>
  <c r="G42" i="2"/>
  <c r="G795" i="2"/>
  <c r="G716" i="2"/>
  <c r="G564" i="2"/>
  <c r="G718" i="2"/>
  <c r="G210" i="2"/>
  <c r="G331" i="2"/>
  <c r="G679" i="2"/>
  <c r="G717" i="2"/>
  <c r="G913" i="2"/>
  <c r="G841" i="2"/>
  <c r="G19" i="2"/>
  <c r="G173" i="2"/>
  <c r="G174" i="2"/>
  <c r="G118" i="2"/>
  <c r="G924" i="2"/>
  <c r="G734" i="2"/>
  <c r="G81" i="2"/>
  <c r="G82" i="2"/>
  <c r="G733" i="2"/>
  <c r="G47" i="2"/>
  <c r="G730" i="2"/>
  <c r="G419" i="2"/>
  <c r="G937" i="2"/>
  <c r="G624" i="2"/>
  <c r="G288" i="2"/>
  <c r="G235" i="2"/>
  <c r="G16" i="2"/>
  <c r="G750" i="2"/>
  <c r="G938" i="2"/>
  <c r="G80" i="2"/>
  <c r="G565" i="2"/>
  <c r="G738" i="2"/>
  <c r="G307" i="2"/>
  <c r="G727" i="2"/>
  <c r="G505" i="2"/>
  <c r="G735" i="2"/>
  <c r="G441" i="2"/>
  <c r="G106" i="2"/>
  <c r="G712" i="2"/>
  <c r="G3" i="2"/>
  <c r="G886" i="2"/>
  <c r="G759" i="2"/>
  <c r="G932" i="2"/>
  <c r="G965" i="2"/>
  <c r="G784" i="2"/>
  <c r="G291" i="2"/>
  <c r="G228" i="2"/>
  <c r="G742" i="2"/>
  <c r="G30" i="2"/>
  <c r="G748" i="2"/>
  <c r="G752" i="2"/>
  <c r="G982" i="2"/>
  <c r="G983" i="2"/>
  <c r="G753" i="2"/>
  <c r="G457" i="2"/>
  <c r="G761" i="2"/>
  <c r="G986" i="2"/>
  <c r="G749" i="2"/>
  <c r="G754" i="2"/>
  <c r="G49" i="2"/>
  <c r="G958" i="2"/>
  <c r="G959" i="2"/>
  <c r="G837" i="2"/>
  <c r="G838" i="2"/>
  <c r="G52" i="2"/>
  <c r="G768" i="2"/>
  <c r="G158" i="2"/>
  <c r="G318" i="2"/>
  <c r="G684" i="2"/>
  <c r="G369" i="2"/>
  <c r="G370" i="2"/>
  <c r="G145" i="2"/>
  <c r="G801" i="2"/>
  <c r="G188" i="2"/>
  <c r="G189" i="2"/>
  <c r="G639" i="2"/>
  <c r="G471" i="2"/>
  <c r="G382" i="2"/>
  <c r="G2" i="2"/>
  <c r="G233" i="2"/>
  <c r="G379" i="2"/>
  <c r="G519" i="2"/>
  <c r="G37" i="2"/>
  <c r="G443" i="2"/>
  <c r="G444" i="2"/>
  <c r="G831" i="2"/>
  <c r="G917" i="2"/>
  <c r="G62" i="2"/>
  <c r="G64" i="2"/>
  <c r="G619" i="2"/>
  <c r="G569" i="2"/>
  <c r="G206" i="2"/>
  <c r="G570" i="2"/>
  <c r="G857" i="2"/>
  <c r="G445" i="2"/>
  <c r="G916" i="2"/>
  <c r="G915" i="2"/>
  <c r="G571" i="2"/>
  <c r="G63" i="2"/>
  <c r="G676" i="2"/>
  <c r="G442" i="2"/>
  <c r="G568" i="2"/>
  <c r="G230" i="2"/>
  <c r="G773" i="2"/>
  <c r="G511" i="2"/>
  <c r="G514" i="2"/>
  <c r="G844" i="2"/>
  <c r="G779" i="2"/>
  <c r="G295" i="2"/>
  <c r="G755" i="2"/>
  <c r="G517" i="2"/>
  <c r="G870" i="2"/>
  <c r="G613" i="2"/>
  <c r="G775" i="2"/>
  <c r="G516" i="2"/>
  <c r="G509" i="2"/>
  <c r="G668" i="2"/>
  <c r="G383" i="2"/>
  <c r="G911" i="2"/>
  <c r="G650" i="2"/>
  <c r="G482" i="2"/>
  <c r="G778" i="2"/>
  <c r="G114" i="2"/>
  <c r="G512" i="2"/>
  <c r="G510" i="2"/>
  <c r="G279" i="2"/>
  <c r="G427" i="2"/>
  <c r="G330" i="2"/>
  <c r="G757" i="2"/>
  <c r="G669" i="2"/>
  <c r="G96" i="2"/>
  <c r="G882" i="2"/>
  <c r="G66" i="2"/>
  <c r="G883" i="2"/>
  <c r="G294" i="2"/>
  <c r="G33" i="2"/>
  <c r="G301" i="2"/>
  <c r="G462" i="2"/>
  <c r="G194" i="2"/>
  <c r="G520" i="2"/>
  <c r="G602" i="2"/>
  <c r="G333" i="2"/>
  <c r="G863" i="2"/>
  <c r="G845" i="2"/>
  <c r="G785" i="2"/>
  <c r="G662" i="2"/>
  <c r="G611" i="2"/>
  <c r="G740" i="2"/>
  <c r="G633" i="2"/>
  <c r="G415" i="2"/>
  <c r="G391" i="2"/>
  <c r="G10" i="2"/>
  <c r="G422" i="2"/>
  <c r="G898" i="2"/>
  <c r="G234" i="2"/>
  <c r="G483" i="2"/>
  <c r="G832" i="2"/>
  <c r="G980" i="2"/>
  <c r="G904" i="2"/>
  <c r="G500" i="2"/>
  <c r="G649" i="2"/>
  <c r="G8" i="2"/>
  <c r="G496" i="2"/>
  <c r="G281" i="2"/>
  <c r="G204" i="2"/>
  <c r="G707" i="2"/>
  <c r="G426" i="2"/>
  <c r="G777" i="2"/>
  <c r="G999" i="2"/>
  <c r="G710" i="2"/>
  <c r="G423" i="2"/>
  <c r="G328" i="2"/>
  <c r="G329" i="2"/>
  <c r="G847" i="2"/>
  <c r="G35" i="2"/>
  <c r="G275" i="2"/>
  <c r="G184" i="2"/>
  <c r="G186" i="2"/>
  <c r="G944" i="2"/>
  <c r="G797" i="2"/>
  <c r="G636" i="2"/>
  <c r="G84" i="2"/>
  <c r="G98" i="2"/>
  <c r="G862" i="2"/>
  <c r="G136" i="2"/>
  <c r="G276" i="2"/>
  <c r="G782" i="2"/>
  <c r="G647" i="2"/>
  <c r="G274" i="2"/>
  <c r="G855" i="2"/>
  <c r="G85" i="2"/>
  <c r="G432" i="2"/>
  <c r="G967" i="2"/>
  <c r="G431" i="2"/>
  <c r="G69" i="2"/>
  <c r="G447" i="2"/>
  <c r="G667" i="2"/>
  <c r="G109" i="2"/>
  <c r="G888" i="2"/>
  <c r="G271" i="2"/>
  <c r="G821" i="2"/>
  <c r="G175" i="2"/>
  <c r="G664" i="2"/>
  <c r="G884" i="2"/>
  <c r="G484" i="2"/>
  <c r="G776" i="2"/>
  <c r="G530" i="2"/>
  <c r="G936" i="2"/>
  <c r="G812" i="2"/>
  <c r="G918" i="2"/>
  <c r="G781" i="2"/>
  <c r="G308" i="2"/>
  <c r="G635" i="2"/>
  <c r="G225" i="2"/>
  <c r="G567" i="2"/>
  <c r="G138" i="2"/>
  <c r="G32" i="2"/>
  <c r="G88" i="2"/>
  <c r="G470" i="2"/>
  <c r="G392" i="2"/>
  <c r="G532" i="2"/>
  <c r="G975" i="2"/>
  <c r="G531" i="2"/>
  <c r="G973" i="2"/>
  <c r="G535" i="2"/>
  <c r="G534" i="2"/>
  <c r="G539" i="2"/>
  <c r="G533" i="2"/>
  <c r="G542" i="2"/>
  <c r="G538" i="2"/>
  <c r="G536" i="2"/>
  <c r="G674" i="2"/>
  <c r="G12" i="2"/>
  <c r="G11" i="2"/>
  <c r="G617" i="2"/>
  <c r="G380" i="2"/>
  <c r="G381" i="2"/>
  <c r="G659" i="2"/>
  <c r="G800" i="2"/>
  <c r="G873" i="2"/>
  <c r="G112" i="2"/>
  <c r="G544" i="2"/>
  <c r="G518" i="2"/>
  <c r="G59" i="2"/>
  <c r="G1013" i="2"/>
  <c r="G984" i="2"/>
  <c r="G575" i="2"/>
  <c r="G513" i="2"/>
  <c r="G408" i="2"/>
  <c r="G430" i="2"/>
  <c r="G1014" i="2"/>
  <c r="G227" i="2"/>
  <c r="G582" i="2"/>
  <c r="G876" i="2"/>
  <c r="G494" i="2"/>
  <c r="G110" i="2"/>
  <c r="G933" i="2"/>
  <c r="G934" i="2"/>
  <c r="G242" i="2"/>
  <c r="G608" i="2"/>
  <c r="G243" i="2"/>
  <c r="G449" i="2"/>
  <c r="G906" i="2"/>
  <c r="G257" i="2"/>
  <c r="G584" i="2"/>
  <c r="G878" i="2"/>
  <c r="G356" i="2"/>
  <c r="G550" i="2"/>
  <c r="G305" i="2"/>
  <c r="G126" i="2"/>
  <c r="G128" i="2"/>
  <c r="G36" i="2"/>
  <c r="G86" i="2"/>
  <c r="G540" i="2"/>
  <c r="G956" i="2"/>
  <c r="G537" i="2"/>
  <c r="G354" i="2"/>
  <c r="G400" i="2"/>
  <c r="G481" i="2"/>
  <c r="G123" i="2"/>
  <c r="G834" i="2"/>
  <c r="G640" i="2"/>
  <c r="G741" i="2"/>
  <c r="G581" i="2"/>
  <c r="G181" i="2"/>
  <c r="G634" i="2"/>
  <c r="G504" i="2"/>
  <c r="G609" i="2"/>
  <c r="G685" i="2"/>
  <c r="G515" i="2"/>
  <c r="G160" i="2"/>
  <c r="G272" i="2"/>
  <c r="G407" i="2"/>
  <c r="G648" i="2"/>
  <c r="G384" i="2"/>
  <c r="G756" i="2"/>
  <c r="G996" i="2"/>
  <c r="G810" i="2"/>
  <c r="G193" i="2"/>
  <c r="G299" i="2"/>
  <c r="G421" i="2"/>
  <c r="G425" i="2"/>
  <c r="G865" i="2"/>
  <c r="G971" i="2"/>
  <c r="G907" i="2"/>
  <c r="G969" i="2"/>
  <c r="G808" i="2"/>
  <c r="G451" i="2"/>
  <c r="G671" i="2"/>
  <c r="G783" i="2"/>
  <c r="G912" i="2"/>
  <c r="G416" i="2"/>
  <c r="G263" i="2"/>
  <c r="G744" i="2"/>
  <c r="G506" i="2"/>
  <c r="G1010" i="2"/>
  <c r="G337" i="2"/>
  <c r="G362" i="2"/>
  <c r="G708" i="2"/>
  <c r="G237" i="2"/>
  <c r="G769" i="2"/>
  <c r="G192" i="2"/>
  <c r="G316" i="2"/>
  <c r="G497" i="2"/>
  <c r="G343" i="2"/>
  <c r="G658" i="2"/>
  <c r="G374" i="2"/>
  <c r="G476" i="2"/>
  <c r="G651" i="2"/>
  <c r="G751" i="2"/>
  <c r="G629" i="2"/>
  <c r="G732" i="2"/>
  <c r="G731" i="2"/>
  <c r="G102" i="2"/>
  <c r="G1004" i="2"/>
  <c r="G304" i="2"/>
  <c r="G117" i="2"/>
  <c r="G326" i="2"/>
  <c r="G961" i="2"/>
  <c r="G714" i="2"/>
  <c r="G672" i="2"/>
  <c r="G132" i="2"/>
  <c r="G1002" i="2"/>
  <c r="G557" i="2"/>
  <c r="G987" i="2"/>
  <c r="G807" i="2"/>
  <c r="G113" i="2"/>
  <c r="G543" i="2"/>
  <c r="G93" i="2"/>
  <c r="G957" i="2"/>
  <c r="G355" i="2"/>
  <c r="G321" i="2"/>
  <c r="G1003" i="2"/>
  <c r="G23" i="2"/>
  <c r="G406" i="2"/>
  <c r="G278" i="2"/>
  <c r="G399" i="2"/>
  <c r="G713" i="2"/>
  <c r="G385" i="2"/>
  <c r="G627" i="2"/>
  <c r="G705" i="2"/>
  <c r="G578" i="2"/>
  <c r="G923" i="2"/>
  <c r="G201" i="2"/>
  <c r="G498" i="2"/>
  <c r="G315" i="2"/>
  <c r="G349" i="2"/>
  <c r="G95" i="2"/>
  <c r="G190" i="2"/>
  <c r="G53" i="2"/>
  <c r="G103" i="2"/>
  <c r="G736" i="2"/>
  <c r="G211" i="2"/>
  <c r="G610" i="2"/>
  <c r="G332" i="2"/>
  <c r="G22" i="2"/>
  <c r="G357" i="2"/>
  <c r="G656" i="2"/>
  <c r="G508" i="2"/>
  <c r="G1008" i="2"/>
  <c r="G152" i="2"/>
  <c r="G297" i="2"/>
  <c r="G159" i="2"/>
  <c r="G631" i="2"/>
  <c r="G874" i="2"/>
  <c r="G450" i="2"/>
  <c r="G480" i="2"/>
  <c r="G908" i="2"/>
  <c r="G396" i="2"/>
  <c r="G868" i="2"/>
  <c r="G549" i="2"/>
  <c r="G116" i="2"/>
  <c r="G561" i="2"/>
  <c r="G244" i="2"/>
  <c r="G995" i="2"/>
  <c r="G20" i="2"/>
  <c r="G324" i="2"/>
  <c r="G585" i="2"/>
  <c r="G367" i="2"/>
  <c r="G989" i="2"/>
  <c r="G728" i="2"/>
  <c r="G79" i="2"/>
  <c r="G486" i="2"/>
  <c r="G964" i="2"/>
  <c r="G39" i="2"/>
  <c r="G277" i="2"/>
  <c r="G990" i="2"/>
  <c r="G350" i="2"/>
  <c r="G645" i="2"/>
  <c r="G852" i="2"/>
  <c r="G851" i="2"/>
  <c r="G574" i="2"/>
  <c r="G573" i="2"/>
  <c r="G678" i="2"/>
  <c r="G474" i="2"/>
  <c r="G875" i="2"/>
  <c r="G240" i="2"/>
  <c r="G241" i="2"/>
  <c r="G161" i="2"/>
  <c r="G162" i="2"/>
  <c r="G428" i="2"/>
  <c r="G429" i="2"/>
  <c r="G359" i="2"/>
  <c r="G361" i="2"/>
  <c r="G360" i="2"/>
  <c r="G988" i="2"/>
  <c r="G900" i="2"/>
  <c r="G901" i="2"/>
  <c r="G523" i="2"/>
  <c r="G180" i="2"/>
  <c r="G129" i="2"/>
  <c r="G700" i="2"/>
  <c r="G437" i="2"/>
  <c r="G940" i="2"/>
  <c r="G473" i="2"/>
  <c r="G853" i="2"/>
  <c r="G147" i="2"/>
  <c r="G899" i="2"/>
  <c r="G58" i="2"/>
  <c r="G745" i="2"/>
  <c r="G746" i="2"/>
  <c r="G747" i="2"/>
  <c r="G48" i="2"/>
  <c r="G848" i="2"/>
  <c r="G850" i="2"/>
  <c r="G849" i="2"/>
  <c r="G9" i="2"/>
  <c r="G618" i="2"/>
  <c r="G696" i="2"/>
  <c r="G931" i="2"/>
  <c r="G762" i="2"/>
  <c r="G489" i="2"/>
  <c r="G556" i="2"/>
  <c r="G698" i="2"/>
  <c r="G541" i="2"/>
  <c r="G697" i="2"/>
  <c r="G342" i="2"/>
  <c r="G711" i="2"/>
  <c r="G55" i="2"/>
  <c r="G764" i="2"/>
  <c r="G215" i="2"/>
  <c r="G477" i="2"/>
  <c r="G365" i="2"/>
  <c r="G809" i="2"/>
  <c r="G303" i="2"/>
  <c r="G702" i="2"/>
  <c r="G563" i="2"/>
  <c r="G725" i="2"/>
  <c r="G115" i="2"/>
  <c r="G253" i="2"/>
  <c r="G378" i="2"/>
  <c r="G51" i="2"/>
  <c r="G889" i="2"/>
  <c r="G528" i="2"/>
  <c r="G527" i="2"/>
  <c r="G529" i="2"/>
  <c r="G262" i="2"/>
  <c r="G945" i="2"/>
  <c r="G673" i="2"/>
  <c r="G547" i="2"/>
  <c r="G895" i="2"/>
  <c r="G804" i="2"/>
  <c r="G693" i="2"/>
  <c r="G798" i="2"/>
  <c r="G799" i="2"/>
  <c r="G946" i="2"/>
  <c r="G133" i="2"/>
  <c r="G1006" i="2"/>
  <c r="G1007" i="2"/>
  <c r="G842" i="2"/>
  <c r="G941" i="2"/>
  <c r="G57" i="2"/>
  <c r="G239" i="2"/>
  <c r="G562" i="2"/>
  <c r="G469" i="2"/>
  <c r="G436" i="2"/>
  <c r="G24" i="2"/>
  <c r="G525" i="2"/>
  <c r="G171" i="2"/>
  <c r="G843" i="2"/>
  <c r="G220" i="2"/>
  <c r="G643" i="2"/>
  <c r="G219" i="2"/>
  <c r="G840" i="2"/>
  <c r="G199" i="2"/>
  <c r="G802" i="2"/>
  <c r="G435" i="2"/>
  <c r="G856" i="2"/>
  <c r="G43" i="2"/>
  <c r="G526" i="2"/>
  <c r="G310" i="2"/>
  <c r="G615" i="2"/>
  <c r="G440" i="2"/>
  <c r="G859" i="2"/>
  <c r="G177" i="2"/>
  <c r="G176" i="2"/>
  <c r="G858" i="2"/>
  <c r="G522" i="2"/>
  <c r="G763" i="2"/>
  <c r="G439" i="2"/>
  <c r="G978" i="2"/>
  <c r="G521" i="2"/>
  <c r="G249" i="2"/>
  <c r="G248" i="2"/>
  <c r="G251" i="2"/>
  <c r="G252" i="2"/>
  <c r="G644" i="2"/>
  <c r="G811" i="2"/>
  <c r="G433" i="2"/>
  <c r="G156" i="2"/>
  <c r="G953" i="2"/>
  <c r="G25" i="2"/>
  <c r="G724" i="2"/>
  <c r="G390" i="2"/>
  <c r="G663" i="2"/>
  <c r="G607" i="2"/>
  <c r="G979" i="2"/>
  <c r="G652" i="2"/>
  <c r="G468" i="2"/>
  <c r="G466" i="2"/>
  <c r="G464" i="2"/>
  <c r="G467" i="2"/>
  <c r="G600" i="2"/>
  <c r="G824" i="2"/>
  <c r="G572" i="2"/>
  <c r="G601" i="2"/>
  <c r="G616" i="2"/>
  <c r="G721" i="2"/>
  <c r="G720" i="2"/>
  <c r="G976" i="2"/>
  <c r="G197" i="2"/>
  <c r="G339" i="2"/>
  <c r="G992" i="2"/>
  <c r="G402" i="2"/>
  <c r="G806" i="2"/>
  <c r="G18" i="2"/>
  <c r="G364" i="2"/>
  <c r="G167" i="2"/>
  <c r="G196" i="2"/>
  <c r="G583" i="2"/>
  <c r="G632" i="2"/>
  <c r="G465" i="2"/>
  <c r="G591" i="2"/>
  <c r="G593" i="2"/>
  <c r="G960" i="2"/>
  <c r="G27" i="2"/>
  <c r="G588" i="2"/>
  <c r="G939" i="2"/>
  <c r="G722" i="2"/>
  <c r="G614" i="2"/>
  <c r="G77" i="2"/>
  <c r="G459" i="2"/>
  <c r="G285" i="2"/>
  <c r="G258" i="2"/>
  <c r="G127" i="2"/>
  <c r="G366" i="2"/>
  <c r="G935" i="2"/>
  <c r="G949" i="2"/>
  <c r="G434" i="2"/>
  <c r="G418" i="2"/>
  <c r="G377" i="2"/>
  <c r="G694" i="2"/>
  <c r="G229" i="2"/>
  <c r="G185" i="2"/>
  <c r="G183" i="2"/>
  <c r="G638" i="2"/>
  <c r="G4" i="2"/>
  <c r="G409" i="2"/>
  <c r="G490" i="2"/>
  <c r="G787" i="2"/>
  <c r="G665" i="2"/>
  <c r="G287" i="2"/>
  <c r="G687" i="2"/>
  <c r="G818" i="2"/>
  <c r="G817" i="2"/>
  <c r="G819" i="2"/>
  <c r="G820" i="2"/>
  <c r="G5" i="2"/>
  <c r="G794" i="2"/>
  <c r="G501" i="2"/>
  <c r="G502" i="2"/>
  <c r="G704" i="2"/>
  <c r="G250" i="2"/>
  <c r="G6" i="2"/>
  <c r="G688" i="2"/>
  <c r="G491" i="2"/>
  <c r="G743" i="2"/>
  <c r="G172" i="2"/>
  <c r="G970" i="2"/>
  <c r="G991" i="2"/>
  <c r="G50" i="2"/>
  <c r="G587" i="2"/>
  <c r="G595" i="2"/>
  <c r="G209" i="2"/>
  <c r="G580" i="2"/>
  <c r="G296" i="2"/>
  <c r="G283" i="2"/>
  <c r="G290" i="2"/>
  <c r="G947" i="2"/>
  <c r="G789" i="2"/>
  <c r="G255" i="2"/>
  <c r="G943" i="2"/>
  <c r="G942" i="2"/>
  <c r="G786" i="2"/>
  <c r="G628" i="2"/>
  <c r="G165" i="2"/>
  <c r="G218" i="2"/>
  <c r="G816" i="2"/>
  <c r="G216" i="2"/>
  <c r="G17" i="2"/>
  <c r="G972" i="2"/>
  <c r="G968" i="2"/>
  <c r="G203" i="2"/>
  <c r="G60" i="2"/>
  <c r="G438" i="2"/>
  <c r="G860" i="2"/>
  <c r="G78" i="2"/>
  <c r="G861" i="2"/>
  <c r="G478" i="2"/>
  <c r="G292" i="2"/>
  <c r="G448" i="2"/>
  <c r="G460" i="2"/>
  <c r="G140" i="2"/>
  <c r="G689" i="2"/>
  <c r="G709" i="2"/>
  <c r="G202" i="2"/>
  <c r="G56" i="2"/>
  <c r="G892" i="2"/>
  <c r="G388" i="2"/>
  <c r="G703" i="2"/>
  <c r="G389" i="2"/>
  <c r="G894" i="2"/>
  <c r="G893" i="2"/>
  <c r="G677" i="2"/>
  <c r="G814" i="2"/>
  <c r="G493" i="2"/>
  <c r="G864" i="2"/>
  <c r="G41" i="2"/>
  <c r="G280" i="2"/>
  <c r="G452" i="2"/>
  <c r="G166" i="2"/>
  <c r="G130" i="2"/>
  <c r="G187" i="2"/>
  <c r="G788" i="2"/>
  <c r="G212" i="2"/>
  <c r="G320" i="2"/>
  <c r="G76" i="2"/>
  <c r="G699" i="2"/>
  <c r="G311" i="2"/>
  <c r="G909" i="2"/>
  <c r="G461" i="2"/>
  <c r="G289" i="2"/>
  <c r="G87" i="2"/>
  <c r="G38" i="2"/>
  <c r="G270" i="2"/>
  <c r="G597" i="2"/>
  <c r="G598" i="2"/>
  <c r="G590" i="2"/>
  <c r="G589" i="2"/>
  <c r="G594" i="2"/>
  <c r="G592" i="2"/>
  <c r="G596" i="2"/>
  <c r="G599" i="2"/>
  <c r="G586" i="2"/>
  <c r="G298" i="2"/>
  <c r="G706" i="2"/>
  <c r="G395" i="2"/>
  <c r="G454" i="2"/>
  <c r="G341" i="2"/>
  <c r="G45" i="2"/>
  <c r="G503" i="2"/>
  <c r="G245" i="2"/>
  <c r="G401" i="2"/>
  <c r="G65" i="2"/>
  <c r="G111" i="2"/>
  <c r="G29" i="2"/>
  <c r="G363" i="2"/>
  <c r="G793" i="2"/>
  <c r="G902" i="2"/>
  <c r="G579" i="2"/>
  <c r="G822" i="2"/>
  <c r="G823" i="2"/>
  <c r="G200" i="2"/>
  <c r="G83" i="2"/>
  <c r="G686" i="2"/>
  <c r="G150" i="2"/>
  <c r="G866" i="2"/>
  <c r="G661" i="2"/>
  <c r="G179" i="2"/>
  <c r="G948" i="2"/>
  <c r="G637" i="2"/>
  <c r="G282" i="2"/>
  <c r="G993" i="2"/>
  <c r="G151" i="2"/>
  <c r="G952" i="2"/>
  <c r="G238" i="2"/>
  <c r="G548" i="2"/>
  <c r="G680" i="2"/>
  <c r="G910" i="2"/>
  <c r="G796" i="2"/>
  <c r="G695" i="2"/>
  <c r="G791" i="2"/>
  <c r="G792" i="2"/>
  <c r="G7" i="2"/>
  <c r="G414" i="2"/>
  <c r="G545" i="2"/>
  <c r="G394" i="2"/>
  <c r="G1017" i="2"/>
  <c r="G555" i="2"/>
  <c r="G67" i="2"/>
  <c r="G68" i="2"/>
  <c r="G142" i="2"/>
  <c r="G655" i="2"/>
  <c r="G373" i="2"/>
  <c r="G881" i="2"/>
  <c r="G488" i="2"/>
  <c r="G317" i="2"/>
  <c r="G120" i="2"/>
  <c r="G13" i="2"/>
  <c r="G405" i="2"/>
  <c r="G141" i="2"/>
  <c r="G100" i="2"/>
  <c r="G61" i="2"/>
  <c r="G839" i="2"/>
  <c r="G805" i="2"/>
  <c r="G835" i="2"/>
  <c r="G334" i="2"/>
  <c r="G143" i="2"/>
  <c r="G524" i="2"/>
  <c r="G261" i="2"/>
  <c r="G351" i="2"/>
  <c r="G472" i="2"/>
  <c r="G134" i="2"/>
  <c r="G885" i="2"/>
  <c r="G358" i="2"/>
  <c r="G90" i="2"/>
  <c r="G94" i="2"/>
  <c r="G623" i="2"/>
  <c r="G89" i="2"/>
  <c r="G91" i="2"/>
  <c r="G92" i="2"/>
  <c r="G137" i="2"/>
  <c r="G15" i="2"/>
  <c r="G198" i="2"/>
  <c r="G182" i="2"/>
  <c r="G178" i="2"/>
  <c r="G646" i="2"/>
  <c r="G168" i="2"/>
  <c r="G398" i="2"/>
  <c r="G75" i="2"/>
  <c r="G827" i="2"/>
  <c r="G335" i="2"/>
  <c r="G681" i="2"/>
  <c r="G97" i="2"/>
  <c r="G99" i="2"/>
  <c r="G551" i="2"/>
  <c r="G246" i="2"/>
  <c r="G682" i="2"/>
  <c r="G352" i="2"/>
  <c r="G146" i="2"/>
  <c r="G164" i="2"/>
  <c r="G267" i="2"/>
  <c r="G475" i="2"/>
  <c r="G420" i="2"/>
  <c r="G729" i="2"/>
  <c r="G739" i="2"/>
  <c r="G606" i="2"/>
  <c r="G719" i="2"/>
  <c r="G46" i="2"/>
  <c r="G813" i="2"/>
  <c r="G375" i="2"/>
  <c r="G994" i="2"/>
  <c r="G657" i="2"/>
  <c r="G410" i="2"/>
  <c r="G286" i="2"/>
  <c r="G692" i="2"/>
  <c r="G155" i="2"/>
  <c r="G131" i="2"/>
  <c r="G790" i="2"/>
  <c r="G456" i="2"/>
  <c r="G760" i="2"/>
  <c r="G690" i="2"/>
  <c r="F353" i="2"/>
  <c r="F14" i="2"/>
  <c r="F955" i="2"/>
  <c r="F338" i="2"/>
  <c r="F479" i="2"/>
  <c r="F313" i="2"/>
  <c r="F872" i="2"/>
  <c r="F666" i="2"/>
  <c r="F411" i="2"/>
  <c r="F214" i="2"/>
  <c r="F891" i="2"/>
  <c r="F221" i="2"/>
  <c r="F765" i="2"/>
  <c r="F300" i="2"/>
  <c r="F302" i="2"/>
  <c r="F925" i="2"/>
  <c r="F927" i="2"/>
  <c r="F222" i="2"/>
  <c r="F554" i="2"/>
  <c r="F107" i="2"/>
  <c r="F108" i="2"/>
  <c r="F71" i="2"/>
  <c r="F446" i="2"/>
  <c r="F372" i="2"/>
  <c r="F879" i="2"/>
  <c r="F207" i="2"/>
  <c r="F985" i="2"/>
  <c r="F28" i="2"/>
  <c r="F247" i="2"/>
  <c r="F224" i="2"/>
  <c r="F223" i="2"/>
  <c r="F641" i="2"/>
  <c r="F195" i="2"/>
  <c r="F424" i="2"/>
  <c r="F453" i="2"/>
  <c r="F157" i="2"/>
  <c r="F766" i="2"/>
  <c r="F737" i="2"/>
  <c r="F630" i="2"/>
  <c r="F44" i="2"/>
  <c r="F260" i="2"/>
  <c r="F930" i="2"/>
  <c r="F926" i="2"/>
  <c r="F928" i="2"/>
  <c r="F929" i="2"/>
  <c r="F553" i="2"/>
  <c r="F998" i="2"/>
  <c r="F867" i="2"/>
  <c r="F914" i="2"/>
  <c r="F560" i="2"/>
  <c r="F559" i="2"/>
  <c r="F558" i="2"/>
  <c r="F825" i="2"/>
  <c r="F417" i="2"/>
  <c r="F169" i="2"/>
  <c r="F997" i="2"/>
  <c r="F603" i="2"/>
  <c r="F774" i="2"/>
  <c r="F458" i="2"/>
  <c r="F393" i="2"/>
  <c r="F660" i="2"/>
  <c r="F772" i="2"/>
  <c r="F920" i="2"/>
  <c r="F340" i="2"/>
  <c r="F492" i="2"/>
  <c r="F368" i="2"/>
  <c r="F833" i="2"/>
  <c r="F877" i="2"/>
  <c r="F654" i="2"/>
  <c r="F273" i="2"/>
  <c r="F758" i="2"/>
  <c r="F625" i="2"/>
  <c r="F268" i="2"/>
  <c r="F715" i="2"/>
  <c r="F322" i="2"/>
  <c r="F954" i="2"/>
  <c r="F314" i="2"/>
  <c r="F626" i="2"/>
  <c r="F880" i="2"/>
  <c r="F54" i="2"/>
  <c r="F256" i="2"/>
  <c r="F620" i="2"/>
  <c r="F325" i="2"/>
  <c r="F829" i="2"/>
  <c r="F485" i="2"/>
  <c r="F1000" i="2"/>
  <c r="F896" i="2"/>
  <c r="F306" i="2"/>
  <c r="F121" i="2"/>
  <c r="F104" i="2"/>
  <c r="F135" i="2"/>
  <c r="F566" i="2"/>
  <c r="F153" i="2"/>
  <c r="F191" i="2"/>
  <c r="F345" i="2"/>
  <c r="F346" i="2"/>
  <c r="F348" i="2"/>
  <c r="F903" i="2"/>
  <c r="F259" i="2"/>
  <c r="F327" i="2"/>
  <c r="F217" i="2"/>
  <c r="F148" i="2"/>
  <c r="F266" i="2"/>
  <c r="F412" i="2"/>
  <c r="F70" i="2"/>
  <c r="F499" i="2"/>
  <c r="F815" i="2"/>
  <c r="F771" i="2"/>
  <c r="F854" i="2"/>
  <c r="F826" i="2"/>
  <c r="F170" i="2"/>
  <c r="F344" i="2"/>
  <c r="F205" i="2"/>
  <c r="F264" i="2"/>
  <c r="F966" i="2"/>
  <c r="F830" i="2"/>
  <c r="F691" i="2"/>
  <c r="F163" i="2"/>
  <c r="F319" i="2"/>
  <c r="F495" i="2"/>
  <c r="F905" i="2"/>
  <c r="F726" i="2"/>
  <c r="F34" i="2"/>
  <c r="F887" i="2"/>
  <c r="F119" i="2"/>
  <c r="F413" i="2"/>
  <c r="F122" i="2"/>
  <c r="F1005" i="2"/>
  <c r="F254" i="2"/>
  <c r="F963" i="2"/>
  <c r="F309" i="2"/>
  <c r="F124" i="2"/>
  <c r="F552" i="2"/>
  <c r="F576" i="2"/>
  <c r="F455" i="2"/>
  <c r="F950" i="2"/>
  <c r="F293" i="2"/>
  <c r="F139" i="2"/>
  <c r="F226" i="2"/>
  <c r="F951" i="2"/>
  <c r="F836" i="2"/>
  <c r="F40" i="2"/>
  <c r="F404" i="2"/>
  <c r="F621" i="2"/>
  <c r="F231" i="2"/>
  <c r="F507" i="2"/>
  <c r="F1011" i="2"/>
  <c r="F642" i="2"/>
  <c r="F73" i="2"/>
  <c r="F463" i="2"/>
  <c r="F336" i="2"/>
  <c r="F1009" i="2"/>
  <c r="F26" i="2"/>
  <c r="F846" i="2"/>
  <c r="F1015" i="2"/>
  <c r="F386" i="2"/>
  <c r="F890" i="2"/>
  <c r="F284" i="2"/>
  <c r="F977" i="2"/>
  <c r="F803" i="2"/>
  <c r="F1016" i="2"/>
  <c r="F232" i="2"/>
  <c r="F670" i="2"/>
  <c r="F1012" i="2"/>
  <c r="F487" i="2"/>
  <c r="F780" i="2"/>
  <c r="F42" i="2"/>
  <c r="F795" i="2"/>
  <c r="F716" i="2"/>
  <c r="F564" i="2"/>
  <c r="F718" i="2"/>
  <c r="F210" i="2"/>
  <c r="F331" i="2"/>
  <c r="F679" i="2"/>
  <c r="F717" i="2"/>
  <c r="F913" i="2"/>
  <c r="F841" i="2"/>
  <c r="F19" i="2"/>
  <c r="F173" i="2"/>
  <c r="F174" i="2"/>
  <c r="F118" i="2"/>
  <c r="F924" i="2"/>
  <c r="F734" i="2"/>
  <c r="F81" i="2"/>
  <c r="F82" i="2"/>
  <c r="F733" i="2"/>
  <c r="F47" i="2"/>
  <c r="F730" i="2"/>
  <c r="F419" i="2"/>
  <c r="F937" i="2"/>
  <c r="F624" i="2"/>
  <c r="F288" i="2"/>
  <c r="F235" i="2"/>
  <c r="F16" i="2"/>
  <c r="F750" i="2"/>
  <c r="F938" i="2"/>
  <c r="F80" i="2"/>
  <c r="F565" i="2"/>
  <c r="F738" i="2"/>
  <c r="F307" i="2"/>
  <c r="F727" i="2"/>
  <c r="F505" i="2"/>
  <c r="F735" i="2"/>
  <c r="F441" i="2"/>
  <c r="F106" i="2"/>
  <c r="F712" i="2"/>
  <c r="F3" i="2"/>
  <c r="F886" i="2"/>
  <c r="F759" i="2"/>
  <c r="F932" i="2"/>
  <c r="F965" i="2"/>
  <c r="F784" i="2"/>
  <c r="F291" i="2"/>
  <c r="F228" i="2"/>
  <c r="F742" i="2"/>
  <c r="F30" i="2"/>
  <c r="F748" i="2"/>
  <c r="F752" i="2"/>
  <c r="F982" i="2"/>
  <c r="F983" i="2"/>
  <c r="F753" i="2"/>
  <c r="F457" i="2"/>
  <c r="F761" i="2"/>
  <c r="F986" i="2"/>
  <c r="F749" i="2"/>
  <c r="F754" i="2"/>
  <c r="F49" i="2"/>
  <c r="F958" i="2"/>
  <c r="F959" i="2"/>
  <c r="F837" i="2"/>
  <c r="F838" i="2"/>
  <c r="F52" i="2"/>
  <c r="F768" i="2"/>
  <c r="F158" i="2"/>
  <c r="F318" i="2"/>
  <c r="F684" i="2"/>
  <c r="F369" i="2"/>
  <c r="F370" i="2"/>
  <c r="F145" i="2"/>
  <c r="F801" i="2"/>
  <c r="F188" i="2"/>
  <c r="F189" i="2"/>
  <c r="F639" i="2"/>
  <c r="F471" i="2"/>
  <c r="F382" i="2"/>
  <c r="F2" i="2"/>
  <c r="F233" i="2"/>
  <c r="F379" i="2"/>
  <c r="F519" i="2"/>
  <c r="F37" i="2"/>
  <c r="F443" i="2"/>
  <c r="F444" i="2"/>
  <c r="F831" i="2"/>
  <c r="F917" i="2"/>
  <c r="F62" i="2"/>
  <c r="F64" i="2"/>
  <c r="F619" i="2"/>
  <c r="F569" i="2"/>
  <c r="F206" i="2"/>
  <c r="F570" i="2"/>
  <c r="F857" i="2"/>
  <c r="F445" i="2"/>
  <c r="F916" i="2"/>
  <c r="F915" i="2"/>
  <c r="F571" i="2"/>
  <c r="F63" i="2"/>
  <c r="F676" i="2"/>
  <c r="F442" i="2"/>
  <c r="F568" i="2"/>
  <c r="F230" i="2"/>
  <c r="F773" i="2"/>
  <c r="F511" i="2"/>
  <c r="F514" i="2"/>
  <c r="F844" i="2"/>
  <c r="F779" i="2"/>
  <c r="F295" i="2"/>
  <c r="F755" i="2"/>
  <c r="F517" i="2"/>
  <c r="F870" i="2"/>
  <c r="F613" i="2"/>
  <c r="F775" i="2"/>
  <c r="F516" i="2"/>
  <c r="F509" i="2"/>
  <c r="F668" i="2"/>
  <c r="F383" i="2"/>
  <c r="F911" i="2"/>
  <c r="F650" i="2"/>
  <c r="F482" i="2"/>
  <c r="F778" i="2"/>
  <c r="F114" i="2"/>
  <c r="F512" i="2"/>
  <c r="F510" i="2"/>
  <c r="F279" i="2"/>
  <c r="F427" i="2"/>
  <c r="F330" i="2"/>
  <c r="F757" i="2"/>
  <c r="F669" i="2"/>
  <c r="F96" i="2"/>
  <c r="F882" i="2"/>
  <c r="F66" i="2"/>
  <c r="F883" i="2"/>
  <c r="F294" i="2"/>
  <c r="F33" i="2"/>
  <c r="F301" i="2"/>
  <c r="F462" i="2"/>
  <c r="F194" i="2"/>
  <c r="F520" i="2"/>
  <c r="F602" i="2"/>
  <c r="F333" i="2"/>
  <c r="F863" i="2"/>
  <c r="F845" i="2"/>
  <c r="F785" i="2"/>
  <c r="F662" i="2"/>
  <c r="F611" i="2"/>
  <c r="F740" i="2"/>
  <c r="F633" i="2"/>
  <c r="F415" i="2"/>
  <c r="F391" i="2"/>
  <c r="F10" i="2"/>
  <c r="F422" i="2"/>
  <c r="F898" i="2"/>
  <c r="F234" i="2"/>
  <c r="F483" i="2"/>
  <c r="F832" i="2"/>
  <c r="F980" i="2"/>
  <c r="F904" i="2"/>
  <c r="F500" i="2"/>
  <c r="F649" i="2"/>
  <c r="F8" i="2"/>
  <c r="F496" i="2"/>
  <c r="F281" i="2"/>
  <c r="F204" i="2"/>
  <c r="F707" i="2"/>
  <c r="F426" i="2"/>
  <c r="F777" i="2"/>
  <c r="F999" i="2"/>
  <c r="F710" i="2"/>
  <c r="F423" i="2"/>
  <c r="F328" i="2"/>
  <c r="F329" i="2"/>
  <c r="F847" i="2"/>
  <c r="F35" i="2"/>
  <c r="F275" i="2"/>
  <c r="F184" i="2"/>
  <c r="F186" i="2"/>
  <c r="F944" i="2"/>
  <c r="F797" i="2"/>
  <c r="F636" i="2"/>
  <c r="F84" i="2"/>
  <c r="F98" i="2"/>
  <c r="F862" i="2"/>
  <c r="F136" i="2"/>
  <c r="F276" i="2"/>
  <c r="F782" i="2"/>
  <c r="F647" i="2"/>
  <c r="F274" i="2"/>
  <c r="F855" i="2"/>
  <c r="F85" i="2"/>
  <c r="F432" i="2"/>
  <c r="F967" i="2"/>
  <c r="F431" i="2"/>
  <c r="F69" i="2"/>
  <c r="F447" i="2"/>
  <c r="F667" i="2"/>
  <c r="F109" i="2"/>
  <c r="F888" i="2"/>
  <c r="F271" i="2"/>
  <c r="F821" i="2"/>
  <c r="F175" i="2"/>
  <c r="F664" i="2"/>
  <c r="F884" i="2"/>
  <c r="F484" i="2"/>
  <c r="F776" i="2"/>
  <c r="F530" i="2"/>
  <c r="F936" i="2"/>
  <c r="F812" i="2"/>
  <c r="F918" i="2"/>
  <c r="F781" i="2"/>
  <c r="F308" i="2"/>
  <c r="F635" i="2"/>
  <c r="F225" i="2"/>
  <c r="F567" i="2"/>
  <c r="F138" i="2"/>
  <c r="F32" i="2"/>
  <c r="F88" i="2"/>
  <c r="F470" i="2"/>
  <c r="F392" i="2"/>
  <c r="F532" i="2"/>
  <c r="F975" i="2"/>
  <c r="F531" i="2"/>
  <c r="F973" i="2"/>
  <c r="F535" i="2"/>
  <c r="F534" i="2"/>
  <c r="F539" i="2"/>
  <c r="F533" i="2"/>
  <c r="F542" i="2"/>
  <c r="F538" i="2"/>
  <c r="F536" i="2"/>
  <c r="F674" i="2"/>
  <c r="F12" i="2"/>
  <c r="F11" i="2"/>
  <c r="F617" i="2"/>
  <c r="F380" i="2"/>
  <c r="F381" i="2"/>
  <c r="F659" i="2"/>
  <c r="F800" i="2"/>
  <c r="F873" i="2"/>
  <c r="F112" i="2"/>
  <c r="F544" i="2"/>
  <c r="F518" i="2"/>
  <c r="F59" i="2"/>
  <c r="F1013" i="2"/>
  <c r="F984" i="2"/>
  <c r="F575" i="2"/>
  <c r="F513" i="2"/>
  <c r="F408" i="2"/>
  <c r="F430" i="2"/>
  <c r="F1014" i="2"/>
  <c r="F227" i="2"/>
  <c r="F582" i="2"/>
  <c r="F876" i="2"/>
  <c r="F494" i="2"/>
  <c r="F110" i="2"/>
  <c r="F933" i="2"/>
  <c r="F934" i="2"/>
  <c r="F242" i="2"/>
  <c r="F608" i="2"/>
  <c r="F243" i="2"/>
  <c r="F449" i="2"/>
  <c r="F906" i="2"/>
  <c r="F257" i="2"/>
  <c r="F584" i="2"/>
  <c r="F878" i="2"/>
  <c r="F356" i="2"/>
  <c r="F550" i="2"/>
  <c r="F305" i="2"/>
  <c r="F126" i="2"/>
  <c r="F128" i="2"/>
  <c r="F36" i="2"/>
  <c r="F86" i="2"/>
  <c r="F540" i="2"/>
  <c r="F956" i="2"/>
  <c r="F537" i="2"/>
  <c r="F354" i="2"/>
  <c r="F400" i="2"/>
  <c r="F481" i="2"/>
  <c r="F123" i="2"/>
  <c r="F834" i="2"/>
  <c r="F640" i="2"/>
  <c r="F741" i="2"/>
  <c r="F581" i="2"/>
  <c r="F181" i="2"/>
  <c r="F634" i="2"/>
  <c r="F504" i="2"/>
  <c r="F609" i="2"/>
  <c r="F685" i="2"/>
  <c r="F515" i="2"/>
  <c r="F160" i="2"/>
  <c r="F272" i="2"/>
  <c r="F407" i="2"/>
  <c r="F648" i="2"/>
  <c r="F384" i="2"/>
  <c r="F756" i="2"/>
  <c r="F996" i="2"/>
  <c r="F810" i="2"/>
  <c r="F193" i="2"/>
  <c r="F299" i="2"/>
  <c r="F421" i="2"/>
  <c r="F425" i="2"/>
  <c r="F865" i="2"/>
  <c r="F971" i="2"/>
  <c r="F907" i="2"/>
  <c r="F969" i="2"/>
  <c r="F808" i="2"/>
  <c r="F451" i="2"/>
  <c r="F671" i="2"/>
  <c r="F783" i="2"/>
  <c r="F912" i="2"/>
  <c r="F416" i="2"/>
  <c r="F263" i="2"/>
  <c r="F744" i="2"/>
  <c r="F506" i="2"/>
  <c r="F1010" i="2"/>
  <c r="F337" i="2"/>
  <c r="F362" i="2"/>
  <c r="F708" i="2"/>
  <c r="F237" i="2"/>
  <c r="F769" i="2"/>
  <c r="F192" i="2"/>
  <c r="F316" i="2"/>
  <c r="F497" i="2"/>
  <c r="F343" i="2"/>
  <c r="F658" i="2"/>
  <c r="F374" i="2"/>
  <c r="F476" i="2"/>
  <c r="F651" i="2"/>
  <c r="F751" i="2"/>
  <c r="F629" i="2"/>
  <c r="F732" i="2"/>
  <c r="F731" i="2"/>
  <c r="F102" i="2"/>
  <c r="F1004" i="2"/>
  <c r="F304" i="2"/>
  <c r="F117" i="2"/>
  <c r="F326" i="2"/>
  <c r="F961" i="2"/>
  <c r="F714" i="2"/>
  <c r="F672" i="2"/>
  <c r="F132" i="2"/>
  <c r="F1002" i="2"/>
  <c r="F557" i="2"/>
  <c r="F987" i="2"/>
  <c r="F807" i="2"/>
  <c r="F113" i="2"/>
  <c r="F543" i="2"/>
  <c r="F93" i="2"/>
  <c r="F957" i="2"/>
  <c r="F355" i="2"/>
  <c r="F321" i="2"/>
  <c r="F1003" i="2"/>
  <c r="F23" i="2"/>
  <c r="F406" i="2"/>
  <c r="F278" i="2"/>
  <c r="F399" i="2"/>
  <c r="F713" i="2"/>
  <c r="F385" i="2"/>
  <c r="F627" i="2"/>
  <c r="F705" i="2"/>
  <c r="F578" i="2"/>
  <c r="F923" i="2"/>
  <c r="F201" i="2"/>
  <c r="F498" i="2"/>
  <c r="F315" i="2"/>
  <c r="F349" i="2"/>
  <c r="F95" i="2"/>
  <c r="F190" i="2"/>
  <c r="F53" i="2"/>
  <c r="F103" i="2"/>
  <c r="F736" i="2"/>
  <c r="F211" i="2"/>
  <c r="F610" i="2"/>
  <c r="F332" i="2"/>
  <c r="F22" i="2"/>
  <c r="F357" i="2"/>
  <c r="F656" i="2"/>
  <c r="F508" i="2"/>
  <c r="F1008" i="2"/>
  <c r="F152" i="2"/>
  <c r="F297" i="2"/>
  <c r="F159" i="2"/>
  <c r="F631" i="2"/>
  <c r="F874" i="2"/>
  <c r="F450" i="2"/>
  <c r="F480" i="2"/>
  <c r="F908" i="2"/>
  <c r="F396" i="2"/>
  <c r="F868" i="2"/>
  <c r="F549" i="2"/>
  <c r="F116" i="2"/>
  <c r="F561" i="2"/>
  <c r="F244" i="2"/>
  <c r="F995" i="2"/>
  <c r="F20" i="2"/>
  <c r="F324" i="2"/>
  <c r="F585" i="2"/>
  <c r="F367" i="2"/>
  <c r="F989" i="2"/>
  <c r="F728" i="2"/>
  <c r="F79" i="2"/>
  <c r="F486" i="2"/>
  <c r="F964" i="2"/>
  <c r="F39" i="2"/>
  <c r="F277" i="2"/>
  <c r="F990" i="2"/>
  <c r="F350" i="2"/>
  <c r="F645" i="2"/>
  <c r="F852" i="2"/>
  <c r="F851" i="2"/>
  <c r="F574" i="2"/>
  <c r="F573" i="2"/>
  <c r="F678" i="2"/>
  <c r="F474" i="2"/>
  <c r="F875" i="2"/>
  <c r="F240" i="2"/>
  <c r="F241" i="2"/>
  <c r="F161" i="2"/>
  <c r="F162" i="2"/>
  <c r="F428" i="2"/>
  <c r="F429" i="2"/>
  <c r="F359" i="2"/>
  <c r="F361" i="2"/>
  <c r="F360" i="2"/>
  <c r="F988" i="2"/>
  <c r="F900" i="2"/>
  <c r="F901" i="2"/>
  <c r="F523" i="2"/>
  <c r="F180" i="2"/>
  <c r="F129" i="2"/>
  <c r="F700" i="2"/>
  <c r="F437" i="2"/>
  <c r="F940" i="2"/>
  <c r="F473" i="2"/>
  <c r="F853" i="2"/>
  <c r="F147" i="2"/>
  <c r="F899" i="2"/>
  <c r="F58" i="2"/>
  <c r="F745" i="2"/>
  <c r="F746" i="2"/>
  <c r="F747" i="2"/>
  <c r="F48" i="2"/>
  <c r="F848" i="2"/>
  <c r="F850" i="2"/>
  <c r="F849" i="2"/>
  <c r="F9" i="2"/>
  <c r="F618" i="2"/>
  <c r="F696" i="2"/>
  <c r="F931" i="2"/>
  <c r="F762" i="2"/>
  <c r="F489" i="2"/>
  <c r="F556" i="2"/>
  <c r="F698" i="2"/>
  <c r="F541" i="2"/>
  <c r="F697" i="2"/>
  <c r="F342" i="2"/>
  <c r="F711" i="2"/>
  <c r="F55" i="2"/>
  <c r="F764" i="2"/>
  <c r="F215" i="2"/>
  <c r="F477" i="2"/>
  <c r="F365" i="2"/>
  <c r="F809" i="2"/>
  <c r="F303" i="2"/>
  <c r="F702" i="2"/>
  <c r="F563" i="2"/>
  <c r="F725" i="2"/>
  <c r="F115" i="2"/>
  <c r="F253" i="2"/>
  <c r="F378" i="2"/>
  <c r="F51" i="2"/>
  <c r="F889" i="2"/>
  <c r="F528" i="2"/>
  <c r="F527" i="2"/>
  <c r="F529" i="2"/>
  <c r="F262" i="2"/>
  <c r="F945" i="2"/>
  <c r="F673" i="2"/>
  <c r="F547" i="2"/>
  <c r="F895" i="2"/>
  <c r="F804" i="2"/>
  <c r="F693" i="2"/>
  <c r="F798" i="2"/>
  <c r="F799" i="2"/>
  <c r="F946" i="2"/>
  <c r="F133" i="2"/>
  <c r="F1006" i="2"/>
  <c r="F1007" i="2"/>
  <c r="F842" i="2"/>
  <c r="F941" i="2"/>
  <c r="F57" i="2"/>
  <c r="F239" i="2"/>
  <c r="F562" i="2"/>
  <c r="F469" i="2"/>
  <c r="F436" i="2"/>
  <c r="F24" i="2"/>
  <c r="F525" i="2"/>
  <c r="F171" i="2"/>
  <c r="F843" i="2"/>
  <c r="F220" i="2"/>
  <c r="F643" i="2"/>
  <c r="F219" i="2"/>
  <c r="F840" i="2"/>
  <c r="F199" i="2"/>
  <c r="F802" i="2"/>
  <c r="F435" i="2"/>
  <c r="F856" i="2"/>
  <c r="F43" i="2"/>
  <c r="F526" i="2"/>
  <c r="F310" i="2"/>
  <c r="F615" i="2"/>
  <c r="F440" i="2"/>
  <c r="F859" i="2"/>
  <c r="F177" i="2"/>
  <c r="F176" i="2"/>
  <c r="F858" i="2"/>
  <c r="F522" i="2"/>
  <c r="F763" i="2"/>
  <c r="F439" i="2"/>
  <c r="F978" i="2"/>
  <c r="F521" i="2"/>
  <c r="F249" i="2"/>
  <c r="F248" i="2"/>
  <c r="F251" i="2"/>
  <c r="F252" i="2"/>
  <c r="F644" i="2"/>
  <c r="F811" i="2"/>
  <c r="F433" i="2"/>
  <c r="F156" i="2"/>
  <c r="F953" i="2"/>
  <c r="F25" i="2"/>
  <c r="F724" i="2"/>
  <c r="F390" i="2"/>
  <c r="F663" i="2"/>
  <c r="F607" i="2"/>
  <c r="F979" i="2"/>
  <c r="F652" i="2"/>
  <c r="F468" i="2"/>
  <c r="F466" i="2"/>
  <c r="F464" i="2"/>
  <c r="F467" i="2"/>
  <c r="F600" i="2"/>
  <c r="F824" i="2"/>
  <c r="F572" i="2"/>
  <c r="F601" i="2"/>
  <c r="F616" i="2"/>
  <c r="F721" i="2"/>
  <c r="F720" i="2"/>
  <c r="F976" i="2"/>
  <c r="F197" i="2"/>
  <c r="F339" i="2"/>
  <c r="F992" i="2"/>
  <c r="F402" i="2"/>
  <c r="F806" i="2"/>
  <c r="F18" i="2"/>
  <c r="F364" i="2"/>
  <c r="F167" i="2"/>
  <c r="F196" i="2"/>
  <c r="F583" i="2"/>
  <c r="F632" i="2"/>
  <c r="F465" i="2"/>
  <c r="F591" i="2"/>
  <c r="F593" i="2"/>
  <c r="F960" i="2"/>
  <c r="F27" i="2"/>
  <c r="F588" i="2"/>
  <c r="F939" i="2"/>
  <c r="F722" i="2"/>
  <c r="F614" i="2"/>
  <c r="F77" i="2"/>
  <c r="F459" i="2"/>
  <c r="F285" i="2"/>
  <c r="F258" i="2"/>
  <c r="F127" i="2"/>
  <c r="F366" i="2"/>
  <c r="F935" i="2"/>
  <c r="F949" i="2"/>
  <c r="F434" i="2"/>
  <c r="F418" i="2"/>
  <c r="F377" i="2"/>
  <c r="F694" i="2"/>
  <c r="F229" i="2"/>
  <c r="F185" i="2"/>
  <c r="F183" i="2"/>
  <c r="F638" i="2"/>
  <c r="F4" i="2"/>
  <c r="F409" i="2"/>
  <c r="F490" i="2"/>
  <c r="F787" i="2"/>
  <c r="F665" i="2"/>
  <c r="F287" i="2"/>
  <c r="F687" i="2"/>
  <c r="F818" i="2"/>
  <c r="F817" i="2"/>
  <c r="F819" i="2"/>
  <c r="F820" i="2"/>
  <c r="F5" i="2"/>
  <c r="F794" i="2"/>
  <c r="F501" i="2"/>
  <c r="F502" i="2"/>
  <c r="F704" i="2"/>
  <c r="F250" i="2"/>
  <c r="F6" i="2"/>
  <c r="F688" i="2"/>
  <c r="F491" i="2"/>
  <c r="F743" i="2"/>
  <c r="F172" i="2"/>
  <c r="F970" i="2"/>
  <c r="F991" i="2"/>
  <c r="F50" i="2"/>
  <c r="F587" i="2"/>
  <c r="F595" i="2"/>
  <c r="F209" i="2"/>
  <c r="F580" i="2"/>
  <c r="F296" i="2"/>
  <c r="F283" i="2"/>
  <c r="F290" i="2"/>
  <c r="F947" i="2"/>
  <c r="F789" i="2"/>
  <c r="F255" i="2"/>
  <c r="F943" i="2"/>
  <c r="F942" i="2"/>
  <c r="F786" i="2"/>
  <c r="F628" i="2"/>
  <c r="F165" i="2"/>
  <c r="F218" i="2"/>
  <c r="F816" i="2"/>
  <c r="F216" i="2"/>
  <c r="F17" i="2"/>
  <c r="F972" i="2"/>
  <c r="F968" i="2"/>
  <c r="F203" i="2"/>
  <c r="F60" i="2"/>
  <c r="F438" i="2"/>
  <c r="F860" i="2"/>
  <c r="F78" i="2"/>
  <c r="F861" i="2"/>
  <c r="F478" i="2"/>
  <c r="F292" i="2"/>
  <c r="F448" i="2"/>
  <c r="F460" i="2"/>
  <c r="F140" i="2"/>
  <c r="F689" i="2"/>
  <c r="F709" i="2"/>
  <c r="F202" i="2"/>
  <c r="F56" i="2"/>
  <c r="F892" i="2"/>
  <c r="F388" i="2"/>
  <c r="F703" i="2"/>
  <c r="F389" i="2"/>
  <c r="F894" i="2"/>
  <c r="F893" i="2"/>
  <c r="F677" i="2"/>
  <c r="F814" i="2"/>
  <c r="F493" i="2"/>
  <c r="F864" i="2"/>
  <c r="F41" i="2"/>
  <c r="F280" i="2"/>
  <c r="F452" i="2"/>
  <c r="F166" i="2"/>
  <c r="F130" i="2"/>
  <c r="F187" i="2"/>
  <c r="F788" i="2"/>
  <c r="F212" i="2"/>
  <c r="F320" i="2"/>
  <c r="F76" i="2"/>
  <c r="F699" i="2"/>
  <c r="F311" i="2"/>
  <c r="F909" i="2"/>
  <c r="F461" i="2"/>
  <c r="F289" i="2"/>
  <c r="F87" i="2"/>
  <c r="F38" i="2"/>
  <c r="F270" i="2"/>
  <c r="F597" i="2"/>
  <c r="F598" i="2"/>
  <c r="F590" i="2"/>
  <c r="F589" i="2"/>
  <c r="F594" i="2"/>
  <c r="F592" i="2"/>
  <c r="F596" i="2"/>
  <c r="F599" i="2"/>
  <c r="F586" i="2"/>
  <c r="F298" i="2"/>
  <c r="F706" i="2"/>
  <c r="F395" i="2"/>
  <c r="F454" i="2"/>
  <c r="F341" i="2"/>
  <c r="F45" i="2"/>
  <c r="F503" i="2"/>
  <c r="F245" i="2"/>
  <c r="F401" i="2"/>
  <c r="F65" i="2"/>
  <c r="F111" i="2"/>
  <c r="F29" i="2"/>
  <c r="F363" i="2"/>
  <c r="F793" i="2"/>
  <c r="F902" i="2"/>
  <c r="F579" i="2"/>
  <c r="F822" i="2"/>
  <c r="F823" i="2"/>
  <c r="F200" i="2"/>
  <c r="F83" i="2"/>
  <c r="F686" i="2"/>
  <c r="F150" i="2"/>
  <c r="F866" i="2"/>
  <c r="F661" i="2"/>
  <c r="F179" i="2"/>
  <c r="F948" i="2"/>
  <c r="F637" i="2"/>
  <c r="F282" i="2"/>
  <c r="F993" i="2"/>
  <c r="F151" i="2"/>
  <c r="F952" i="2"/>
  <c r="F238" i="2"/>
  <c r="F548" i="2"/>
  <c r="F680" i="2"/>
  <c r="F910" i="2"/>
  <c r="F796" i="2"/>
  <c r="F695" i="2"/>
  <c r="F791" i="2"/>
  <c r="F792" i="2"/>
  <c r="F7" i="2"/>
  <c r="F414" i="2"/>
  <c r="F545" i="2"/>
  <c r="F394" i="2"/>
  <c r="F1017" i="2"/>
  <c r="F555" i="2"/>
  <c r="F67" i="2"/>
  <c r="F68" i="2"/>
  <c r="F142" i="2"/>
  <c r="F655" i="2"/>
  <c r="F373" i="2"/>
  <c r="F881" i="2"/>
  <c r="F488" i="2"/>
  <c r="F317" i="2"/>
  <c r="F120" i="2"/>
  <c r="F13" i="2"/>
  <c r="F405" i="2"/>
  <c r="F141" i="2"/>
  <c r="F100" i="2"/>
  <c r="F61" i="2"/>
  <c r="F839" i="2"/>
  <c r="F805" i="2"/>
  <c r="F835" i="2"/>
  <c r="F334" i="2"/>
  <c r="F143" i="2"/>
  <c r="F524" i="2"/>
  <c r="F261" i="2"/>
  <c r="F351" i="2"/>
  <c r="F472" i="2"/>
  <c r="F134" i="2"/>
  <c r="F885" i="2"/>
  <c r="F358" i="2"/>
  <c r="F90" i="2"/>
  <c r="F94" i="2"/>
  <c r="F623" i="2"/>
  <c r="F89" i="2"/>
  <c r="F91" i="2"/>
  <c r="F92" i="2"/>
  <c r="F137" i="2"/>
  <c r="F15" i="2"/>
  <c r="F198" i="2"/>
  <c r="F182" i="2"/>
  <c r="F178" i="2"/>
  <c r="F646" i="2"/>
  <c r="F168" i="2"/>
  <c r="F398" i="2"/>
  <c r="F75" i="2"/>
  <c r="F827" i="2"/>
  <c r="F335" i="2"/>
  <c r="F681" i="2"/>
  <c r="F97" i="2"/>
  <c r="F99" i="2"/>
  <c r="F551" i="2"/>
  <c r="F246" i="2"/>
  <c r="F682" i="2"/>
  <c r="F352" i="2"/>
  <c r="F146" i="2"/>
  <c r="F164" i="2"/>
  <c r="F267" i="2"/>
  <c r="F475" i="2"/>
  <c r="F420" i="2"/>
  <c r="F729" i="2"/>
  <c r="F739" i="2"/>
  <c r="F606" i="2"/>
  <c r="F719" i="2"/>
  <c r="F46" i="2"/>
  <c r="F813" i="2"/>
  <c r="F375" i="2"/>
  <c r="F994" i="2"/>
  <c r="F657" i="2"/>
  <c r="F410" i="2"/>
  <c r="F286" i="2"/>
  <c r="F692" i="2"/>
  <c r="F155" i="2"/>
  <c r="F131" i="2"/>
  <c r="F790" i="2"/>
  <c r="F456" i="2"/>
  <c r="F760" i="2"/>
  <c r="F690" i="2"/>
  <c r="F269" i="2"/>
  <c r="F397" i="2"/>
  <c r="F149" i="2"/>
  <c r="F125" i="2"/>
  <c r="F981" i="2"/>
  <c r="F770" i="2"/>
  <c r="F683" i="2"/>
  <c r="F869" i="2"/>
  <c r="F371" i="2"/>
  <c r="F312" i="2"/>
  <c r="F871" i="2"/>
  <c r="F622" i="2"/>
  <c r="F72" i="2"/>
  <c r="F403" i="2"/>
  <c r="F213" i="2"/>
  <c r="F922" i="2"/>
  <c r="F387" i="2"/>
  <c r="F921" i="2"/>
  <c r="F723" i="2"/>
  <c r="F31" i="2"/>
  <c r="F101" i="2"/>
  <c r="F144" i="2"/>
  <c r="F236" i="2"/>
  <c r="F604" i="2"/>
  <c r="F265" i="2"/>
  <c r="F1001" i="2"/>
  <c r="F208" i="2"/>
  <c r="F828" i="2"/>
  <c r="F605" i="2"/>
  <c r="F21" i="2"/>
  <c r="F767" i="2"/>
  <c r="F701" i="2"/>
  <c r="F612" i="2"/>
  <c r="F154" i="2"/>
  <c r="F74" i="2"/>
  <c r="F376" i="2"/>
  <c r="F919" i="2"/>
  <c r="F105" i="2"/>
  <c r="F974" i="2"/>
  <c r="F347" i="2"/>
  <c r="F675" i="2"/>
  <c r="F546" i="2"/>
  <c r="F653" i="2"/>
  <c r="F577" i="2"/>
  <c r="F323" i="2"/>
  <c r="F962" i="2"/>
  <c r="F89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CFD7B9-8F05-42AA-87EF-A33B78296010}" keepAlive="1" name="Query - SCE_Dataset" description="Connection to the 'SCE_Dataset' query in the workbook." type="5" refreshedVersion="8" background="1" saveData="1">
    <dbPr connection="Provider=Microsoft.Mashup.OleDb.1;Data Source=$Workbook$;Location=SCE_Dataset;Extended Properties=&quot;&quot;" command="SELECT * FROM [SCE_Dataset]"/>
  </connection>
</connections>
</file>

<file path=xl/sharedStrings.xml><?xml version="1.0" encoding="utf-8"?>
<sst xmlns="http://schemas.openxmlformats.org/spreadsheetml/2006/main" count="4445" uniqueCount="1118">
  <si>
    <t>2017 NAICS Code</t>
  </si>
  <si>
    <t>GHG</t>
  </si>
  <si>
    <t>Unit</t>
  </si>
  <si>
    <t>Reference USEEIO Code</t>
  </si>
  <si>
    <t>Soybean Farming</t>
  </si>
  <si>
    <t>All GHGs</t>
  </si>
  <si>
    <t>kg CO2e/2022 USD, purchaser price</t>
  </si>
  <si>
    <t>1111A0</t>
  </si>
  <si>
    <t>Oilseed (except Soybean) Farming</t>
  </si>
  <si>
    <t>Dry Pea and Bean Farming</t>
  </si>
  <si>
    <t>1111B0</t>
  </si>
  <si>
    <t>Wheat Farming</t>
  </si>
  <si>
    <t>Corn Farming</t>
  </si>
  <si>
    <t>Rice Farming</t>
  </si>
  <si>
    <t>Oilseed and Grain Combination Farming</t>
  </si>
  <si>
    <t>All Other Grain Farming</t>
  </si>
  <si>
    <t>Potato Farming</t>
  </si>
  <si>
    <t>Other Vegetable (except Potato) and Melon Farming</t>
  </si>
  <si>
    <t>Orange Groves</t>
  </si>
  <si>
    <t>Citrus (except Orange) Groves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</si>
  <si>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</si>
  <si>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</si>
  <si>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</si>
  <si>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</si>
  <si>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</si>
  <si>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</si>
  <si>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</si>
  <si>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</si>
  <si>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</si>
  <si>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</si>
  <si>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</si>
  <si>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</si>
  <si>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</si>
  <si>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Sugarcane Farming</t>
  </si>
  <si>
    <t>Hay Farming</t>
  </si>
  <si>
    <t>Sugar Beet Farming</t>
  </si>
  <si>
    <t>Peanut Farming</t>
  </si>
  <si>
    <t>All Other Miscellaneous Crop Farming</t>
  </si>
  <si>
    <t>Beef Cattle Ranching and Farming</t>
  </si>
  <si>
    <t>1121A0</t>
  </si>
  <si>
    <t>Cattle Feedlots</t>
  </si>
  <si>
    <t>Dairy Cattle and Milk Production</t>
  </si>
  <si>
    <t>Dual-Purpose Cattle Ranching and Farming</t>
  </si>
  <si>
    <t>Hog and Pig Farming</t>
  </si>
  <si>
    <t>112A00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</si>
  <si>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</si>
  <si>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</si>
  <si>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</si>
  <si>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</si>
  <si>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</si>
  <si>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Farming</t>
  </si>
  <si>
    <t>Goat Farming</t>
  </si>
  <si>
    <t>Finfish Farming and Fish Hatcheries</t>
  </si>
  <si>
    <t>Shellfish Farming</t>
  </si>
  <si>
    <t>Other Aquaculture</t>
  </si>
  <si>
    <t>Apiculture</t>
  </si>
  <si>
    <t>Horses and Other Equine Production</t>
  </si>
  <si>
    <t>Fur-Bearing Animal and Rabbit Production</t>
  </si>
  <si>
    <t>All Other Animal Production</t>
  </si>
  <si>
    <t>Timber Tract Operations</t>
  </si>
  <si>
    <t>Forest Nurseries and Gathering of Forest Products</t>
  </si>
  <si>
    <t>Logging</t>
  </si>
  <si>
    <t>Finfish Fishing</t>
  </si>
  <si>
    <t>Shellfish Fishing</t>
  </si>
  <si>
    <t>Other Marine Fishing</t>
  </si>
  <si>
    <t>Hunting and Trapping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</si>
  <si>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</si>
  <si>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</si>
  <si>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</si>
  <si>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</si>
  <si>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</si>
  <si>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</si>
  <si>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Support Activities for Animal Production</t>
  </si>
  <si>
    <t>Support Activities for Forestry</t>
  </si>
  <si>
    <t>Crude Petroleum Extraction</t>
  </si>
  <si>
    <t>Natural Gas Extraction</t>
  </si>
  <si>
    <t>Bituminous Coal and Lignite Surface Mining</t>
  </si>
  <si>
    <t>Bituminous Coal Underground Mining</t>
  </si>
  <si>
    <t>Anthracite Mining</t>
  </si>
  <si>
    <t>Iron Ore Mining</t>
  </si>
  <si>
    <t>2122A0</t>
  </si>
  <si>
    <t>Gold Ore Mining</t>
  </si>
  <si>
    <t>Silver Ore Mining</t>
  </si>
  <si>
    <t>Copper, Nickel, Lead, and Zinc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</si>
  <si>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</si>
  <si>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</si>
  <si>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</si>
  <si>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</si>
  <si>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</si>
  <si>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</si>
  <si>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</si>
  <si>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2123A0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</si>
  <si>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</si>
  <si>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</si>
  <si>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</si>
  <si>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</si>
  <si>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</si>
  <si>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</si>
  <si>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</si>
  <si>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Drilling Oil and Gas Wells</t>
  </si>
  <si>
    <t>Support Activities for Oil and Gas Operations</t>
  </si>
  <si>
    <t>21311A</t>
  </si>
  <si>
    <t>Support Activities for Coal Mining</t>
  </si>
  <si>
    <t>Support Activities for Metal Mining</t>
  </si>
  <si>
    <t>Support Activities for Nonmetallic Minerals (except Fuels) Mining</t>
  </si>
  <si>
    <t>Natural Gas Distribution</t>
  </si>
  <si>
    <t>Water Supply and Irrigation Systems</t>
  </si>
  <si>
    <t>Sewage Treatment Facilities</t>
  </si>
  <si>
    <t>Steam and Air-Conditioning Supply</t>
  </si>
  <si>
    <t>New Single-Family Housing Construction (except For-Sale Builders)</t>
  </si>
  <si>
    <t>New Multifamily Housing Construction (except For-Sale Builders)</t>
  </si>
  <si>
    <t>New Housing For-Sale Builders</t>
  </si>
  <si>
    <t>233411, 233412, 2334A0</t>
  </si>
  <si>
    <t>Residential Remodelers</t>
  </si>
  <si>
    <t>Industrial Building Construction</t>
  </si>
  <si>
    <t>230301, 233230</t>
  </si>
  <si>
    <t>Commercial and Institutional Building Construction</t>
  </si>
  <si>
    <t>230301, 233210, 233262, 2332A0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</si>
  <si>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</si>
  <si>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</si>
  <si>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</si>
  <si>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</si>
  <si>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233210, 233230, 233240, 233262, 2332A0, 2332C0, 2332D0, 233411, 233412, 2334A0</t>
  </si>
  <si>
    <t>Highway, Street, and Bridge Construction</t>
  </si>
  <si>
    <t>2332C0</t>
  </si>
  <si>
    <t>Other Heavy and Civil Engineering Construction</t>
  </si>
  <si>
    <t>2332D0</t>
  </si>
  <si>
    <t>Poured Concrete Foundation and Structure Contractors</t>
  </si>
  <si>
    <t>230301, 230302, 233210, 233230, 233240, 233262, 2332A0, 2332D0, 233411, 233412, 2334A0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</si>
  <si>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</si>
  <si>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</si>
  <si>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</si>
  <si>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</si>
  <si>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</si>
  <si>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</si>
  <si>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</si>
  <si>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Electrical Contractors and Other Wiring Installation Contractors</t>
  </si>
  <si>
    <t>Plumbing, Heating, and Air-Conditioning Contractors</t>
  </si>
  <si>
    <t>Other Building Equipment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</si>
  <si>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</si>
  <si>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</si>
  <si>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</si>
  <si>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</si>
  <si>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</si>
  <si>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</si>
  <si>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Site Preparation Contractors</t>
  </si>
  <si>
    <t>All Other Specialty Trade Contractors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</si>
  <si>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</si>
  <si>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</si>
  <si>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</si>
  <si>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</si>
  <si>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</si>
  <si>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</si>
  <si>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and Other Oilseed Processing</t>
  </si>
  <si>
    <t>Fats and Oils Refining and Blending</t>
  </si>
  <si>
    <t>Breakfast Cereal Manufacturing</t>
  </si>
  <si>
    <t>Beet Sugar Manufacturing</t>
  </si>
  <si>
    <t>Cane Sugar Manufacturing</t>
  </si>
  <si>
    <t>Nonchocolate Confectionery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</si>
  <si>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</si>
  <si>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</si>
  <si>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</si>
  <si>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</si>
  <si>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</si>
  <si>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</si>
  <si>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</si>
  <si>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</si>
  <si>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31151A</t>
  </si>
  <si>
    <t>Creamery Butter Manufacturing</t>
  </si>
  <si>
    <t>Cheese Manufacturing</t>
  </si>
  <si>
    <t>Dry, Condensed, and Evaporated Dairy Product Manufacturing</t>
  </si>
  <si>
    <t>Ice Cream and Frozen Dessert Manufacturing</t>
  </si>
  <si>
    <t>Animal (except Poultry) Slaughtering</t>
  </si>
  <si>
    <t>31161A</t>
  </si>
  <si>
    <t>Meat Processed from Carcasses</t>
  </si>
  <si>
    <t>Rendering and Meat Byproduct Processing</t>
  </si>
  <si>
    <t>Poultry Processing</t>
  </si>
  <si>
    <t>Seafood Product Preparation and Packaging</t>
  </si>
  <si>
    <t>Retail Bakeries</t>
  </si>
  <si>
    <t>Commercial Bakeries</t>
  </si>
  <si>
    <t>Frozen Cakes, Pies, and Other Pastries Manufacturing</t>
  </si>
  <si>
    <t>Cookie and Cracker Manufacturing</t>
  </si>
  <si>
    <t>3118A0</t>
  </si>
  <si>
    <t>Dry Pasta, Dough, and Flour Mixes Manufacturing from Purchased Flour</t>
  </si>
  <si>
    <t>Tortilla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</si>
  <si>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</si>
  <si>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</si>
  <si>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</si>
  <si>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</si>
  <si>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</si>
  <si>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</si>
  <si>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</si>
  <si>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</si>
  <si>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</si>
  <si>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</si>
  <si>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</si>
  <si>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Breweries</t>
  </si>
  <si>
    <t>Wineries</t>
  </si>
  <si>
    <t>Distilleries</t>
  </si>
  <si>
    <t>Tobacco Manufacturing</t>
  </si>
  <si>
    <t>Fiber, Yarn, and Thread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</si>
  <si>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</si>
  <si>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</si>
  <si>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</si>
  <si>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</si>
  <si>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Mills</t>
  </si>
  <si>
    <t>Fabric Coating Mills</t>
  </si>
  <si>
    <t>Carpet and Rug Mills</t>
  </si>
  <si>
    <t>Curtain and Linen Mills</t>
  </si>
  <si>
    <t>Textile Bag and Canvas Mills</t>
  </si>
  <si>
    <t>Rope, Cordage, Twine, Tire Cord, and Tire Fabric Mills</t>
  </si>
  <si>
    <t>All Other Miscellaneous Textile Product Mills</t>
  </si>
  <si>
    <t>Hosiery and Sock Mills</t>
  </si>
  <si>
    <t>Other Apparel Knitting Mills</t>
  </si>
  <si>
    <t>Cut and Sew Apparel Contractors</t>
  </si>
  <si>
    <t>Men's and Boys' Cut and Sew Apparel Manufacturing</t>
  </si>
  <si>
    <t>Women's, Girls', and Infants' Cut and Sew Apparel Manufacturing</t>
  </si>
  <si>
    <t>Other Cut and Sew Apparel Manufacturing</t>
  </si>
  <si>
    <t>Apparel Accessories and Other Apparel Manufacturing</t>
  </si>
  <si>
    <t>Leather and Hide Tanning and Finishing</t>
  </si>
  <si>
    <t>Footwear Manufacturing</t>
  </si>
  <si>
    <t>Women's Handbag and Purse Manufacturing</t>
  </si>
  <si>
    <t>All Other Leather Good and Allied Product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</si>
  <si>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</si>
  <si>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</si>
  <si>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</si>
  <si>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</si>
  <si>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</si>
  <si>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</si>
  <si>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</si>
  <si>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</si>
  <si>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</si>
  <si>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</si>
  <si>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</si>
  <si>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3219A0</t>
  </si>
  <si>
    <t>Manufactured Home (Mobile Home) Manufacturing</t>
  </si>
  <si>
    <t>Prefabricated Wood Building Manufacturing</t>
  </si>
  <si>
    <t>All Other Miscellaneous Wood Product Manufacturing</t>
  </si>
  <si>
    <t>Pulp Mills</t>
  </si>
  <si>
    <t>Paper (except Newsprint) Mills</t>
  </si>
  <si>
    <t>Newsprint Mills</t>
  </si>
  <si>
    <t>Paperboard Mills</t>
  </si>
  <si>
    <t>Corrugated and Solid Fiber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</si>
  <si>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</si>
  <si>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</si>
  <si>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</si>
  <si>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</si>
  <si>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</si>
  <si>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</si>
  <si>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Printing (except Screen and Books)</t>
  </si>
  <si>
    <t>Commercial Screen Printing</t>
  </si>
  <si>
    <t>Books Printing</t>
  </si>
  <si>
    <t>Support Activites for Printing</t>
  </si>
  <si>
    <t>Petroleum Refineries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</si>
  <si>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</si>
  <si>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</si>
  <si>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</si>
  <si>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</si>
  <si>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</si>
  <si>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</si>
  <si>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</si>
  <si>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</si>
  <si>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Ethyl Alcohol Manufacturing</t>
  </si>
  <si>
    <t>Cyclic Crude, Intermediate, and Gum and Wood Chemical Manufacturing</t>
  </si>
  <si>
    <t>All Other Basic Organic Chemical Manufacturing</t>
  </si>
  <si>
    <t>Plastics Material and Resin Manufacturing</t>
  </si>
  <si>
    <t>Synthetic Rubber Manufacturing</t>
  </si>
  <si>
    <t>3252A0</t>
  </si>
  <si>
    <t>Artificial and Synthetic Fibers and Filaments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</si>
  <si>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</si>
  <si>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</si>
  <si>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</si>
  <si>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</si>
  <si>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</si>
  <si>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</si>
  <si>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</si>
  <si>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</si>
  <si>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</si>
  <si>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</si>
  <si>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</si>
  <si>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</si>
  <si>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</si>
  <si>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</si>
  <si>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Printing Ink Manufacturing</t>
  </si>
  <si>
    <t>Explosives Manufacturing</t>
  </si>
  <si>
    <t>3259A0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</si>
  <si>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</si>
  <si>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</si>
  <si>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</si>
  <si>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</si>
  <si>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</si>
  <si>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</si>
  <si>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</si>
  <si>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</si>
  <si>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</si>
  <si>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</si>
  <si>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</si>
  <si>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</si>
  <si>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Plastics Plumbing Fixture Manufacturing</t>
  </si>
  <si>
    <t>All Other Plastics Product Manufacturing</t>
  </si>
  <si>
    <t>Tire Manufacturing (except Retreading)</t>
  </si>
  <si>
    <t>Tire Retreading</t>
  </si>
  <si>
    <t>Rubber and Plastics Hoses and Belting Manufacturing</t>
  </si>
  <si>
    <t>Rubber Product Manufacturing for Mechanical Use</t>
  </si>
  <si>
    <t>All Other Rubber Product Manufacturing</t>
  </si>
  <si>
    <t>Pottery, Ceramics, and Plumbing Fixture Manufacturing</t>
  </si>
  <si>
    <t>Clay Building Material and Refractories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</si>
  <si>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</si>
  <si>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</si>
  <si>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</si>
  <si>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</si>
  <si>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Manufacturing</t>
  </si>
  <si>
    <t>Ready-Mix Concrete Manufacturing</t>
  </si>
  <si>
    <t>Concrete Block and Brick Manufacturing</t>
  </si>
  <si>
    <t>Concrete Pipe Manufacturing</t>
  </si>
  <si>
    <t>Other Concrete Product Manufacturing</t>
  </si>
  <si>
    <t>Lime Manufacturing</t>
  </si>
  <si>
    <t>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</si>
  <si>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</si>
  <si>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</si>
  <si>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</si>
  <si>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</si>
  <si>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</si>
  <si>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 and Ferroalloy Manufacturing</t>
  </si>
  <si>
    <t>Iron and Steel Pipe and Tube Manufacturing from Purchased Steel</t>
  </si>
  <si>
    <t>Rolled Steel Shape Manufacturing</t>
  </si>
  <si>
    <t>Steel Wire Drawing</t>
  </si>
  <si>
    <t>Alumina Refining and Primary Aluminum Production</t>
  </si>
  <si>
    <t>Aluminum Sheet, Plate, and Foil Manufacturing</t>
  </si>
  <si>
    <t>33131B</t>
  </si>
  <si>
    <t>Other Aluminum Rolling, Drawing, and Extruding</t>
  </si>
  <si>
    <t>Nonferrous Metal (except Aluminum) Smelting and Refining</t>
  </si>
  <si>
    <t>Copper Rolling, Drawing, Extruding, and Alloying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</si>
  <si>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</si>
  <si>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</si>
  <si>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</si>
  <si>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</si>
  <si>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</si>
  <si>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Nonferrous Metal Die-Casting Foundries</t>
  </si>
  <si>
    <t>Aluminum Foundries (except Die-Casting)</t>
  </si>
  <si>
    <t>Other Nonferrous Metal Foundries (except Die-Casting)</t>
  </si>
  <si>
    <t>Iron and Steel Forging</t>
  </si>
  <si>
    <t>33211A</t>
  </si>
  <si>
    <t>Nonferrous Forging</t>
  </si>
  <si>
    <t>Custom Roll Forming</t>
  </si>
  <si>
    <t>Powder Metallurgy Part Manufacturing</t>
  </si>
  <si>
    <t>Metal Crown, Closure, and Other Metal Stamping (except Automotive)</t>
  </si>
  <si>
    <t>Metal Kitchen Cookware, Utensil, Cutlery, and Flatware (except Precious) Manufacturing</t>
  </si>
  <si>
    <t>Saw Blade and Handtool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</si>
  <si>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</si>
  <si>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</si>
  <si>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</si>
  <si>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</si>
  <si>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</si>
  <si>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</si>
  <si>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</si>
  <si>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</si>
  <si>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</si>
  <si>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</si>
  <si>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</si>
  <si>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Manufacturing</t>
  </si>
  <si>
    <t>Other Fabricated Wire Product Manufacturing</t>
  </si>
  <si>
    <t>Machine Shops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</si>
  <si>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</si>
  <si>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</si>
  <si>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</si>
  <si>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</si>
  <si>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</si>
  <si>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</si>
  <si>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33291A</t>
  </si>
  <si>
    <t>Fluid Power Valve and Hose Fitting Manufacturing</t>
  </si>
  <si>
    <t>Plumbing Fixture Fitting and Trim Manufacturing</t>
  </si>
  <si>
    <t>Other Metal Valve and Pipe Fitting Manufacturing</t>
  </si>
  <si>
    <t>Ball and Roller Bearing Manufacturing</t>
  </si>
  <si>
    <t>Small Arms Ammunition Manufacturing</t>
  </si>
  <si>
    <t>33299A</t>
  </si>
  <si>
    <t>Ammunition (except Small Arms) Manufacturing</t>
  </si>
  <si>
    <t>Small Arms, Ordnance, and Ordnance Accessories Manufacturing</t>
  </si>
  <si>
    <t>Fabricated Pipe and Pipe Fitting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</si>
  <si>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</si>
  <si>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</si>
  <si>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</si>
  <si>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</si>
  <si>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Machinery and Equipment Manufacturing</t>
  </si>
  <si>
    <t>Oil and Gas Field Machinery and Equipment Manufacturing</t>
  </si>
  <si>
    <t>Food Product Machinery Manufacturing</t>
  </si>
  <si>
    <t>33329A</t>
  </si>
  <si>
    <t>Semiconductor Machinery Manufacturing</t>
  </si>
  <si>
    <t>Sawmill, Woodworking, and Paper Machinery Manufacturing</t>
  </si>
  <si>
    <t>Printing Machinery and Equipment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</si>
  <si>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</si>
  <si>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</si>
  <si>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</si>
  <si>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</si>
  <si>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Industrial and Commercial Fan and Blower and Air Purification Equipment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</si>
  <si>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</si>
  <si>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</si>
  <si>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</si>
  <si>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Special Die and Tool, Die Set, Jig, and Fixture Manufacturing</t>
  </si>
  <si>
    <t>Cutting Tool and Machine Tool Accessory Manufacturing</t>
  </si>
  <si>
    <t>33351B</t>
  </si>
  <si>
    <t>Machine Tool Manufacturing</t>
  </si>
  <si>
    <t>Rolling Mill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</si>
  <si>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</si>
  <si>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</si>
  <si>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</si>
  <si>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</si>
  <si>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</si>
  <si>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</si>
  <si>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</si>
  <si>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</si>
  <si>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</si>
  <si>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</si>
  <si>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</si>
  <si>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</si>
  <si>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33399A</t>
  </si>
  <si>
    <t>Packaging Machinery Manufacturing</t>
  </si>
  <si>
    <t>Industrial Process Furnace and Oven Manufacturing</t>
  </si>
  <si>
    <t>Fluid Power Cylinder and Actuator Manufacturing</t>
  </si>
  <si>
    <t>33399B</t>
  </si>
  <si>
    <t>Fluid Power Pump and Motor Manufacturing</t>
  </si>
  <si>
    <t>Scale and Balance Manufacturing</t>
  </si>
  <si>
    <t>All Other Miscellaneous General Purpose Machinery Manufacturing</t>
  </si>
  <si>
    <t>Electronic Computer Manufacturing</t>
  </si>
  <si>
    <t>Computer Storage Device Manufacturing</t>
  </si>
  <si>
    <t>Computer Terminal and Other Computer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</si>
  <si>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</si>
  <si>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</si>
  <si>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</si>
  <si>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</si>
  <si>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Bare Printed Circuit Board Manufacturing</t>
  </si>
  <si>
    <t>33441A</t>
  </si>
  <si>
    <t>Semiconductor and Related Device Manufacturing</t>
  </si>
  <si>
    <t>Capacitor, Resistor,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</si>
  <si>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</si>
  <si>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</si>
  <si>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</si>
  <si>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</si>
  <si>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</si>
  <si>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</si>
  <si>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</si>
  <si>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</si>
  <si>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</si>
  <si>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</si>
  <si>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</si>
  <si>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Other Measuring and Controlling Device Manufacturing</t>
  </si>
  <si>
    <t>33451A</t>
  </si>
  <si>
    <t>Blank Magnetic and Optical Recording Media Manufacturing</t>
  </si>
  <si>
    <t>Software and Other Prerecorded Compact Disc, Tape, and Record Reproducing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</si>
  <si>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</si>
  <si>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</si>
  <si>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</si>
  <si>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</si>
  <si>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</si>
  <si>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</si>
  <si>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</si>
  <si>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</si>
  <si>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</si>
  <si>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</si>
  <si>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</si>
  <si>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</si>
  <si>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</si>
  <si>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</si>
  <si>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</si>
  <si>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</si>
  <si>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</si>
  <si>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</si>
  <si>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</si>
  <si>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</si>
  <si>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</si>
  <si>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</si>
  <si>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</si>
  <si>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</si>
  <si>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</si>
  <si>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</si>
  <si>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</si>
  <si>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</si>
  <si>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3363A0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</si>
  <si>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</si>
  <si>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</si>
  <si>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</si>
  <si>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</si>
  <si>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</si>
  <si>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</si>
  <si>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</si>
  <si>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</si>
  <si>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</si>
  <si>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</si>
  <si>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33641A</t>
  </si>
  <si>
    <t>Other Guided Missile and Space Vehicle Parts and Auxiliary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</si>
  <si>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</si>
  <si>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</si>
  <si>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</si>
  <si>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</si>
  <si>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</si>
  <si>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</si>
  <si>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</si>
  <si>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</si>
  <si>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</si>
  <si>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Metal Household Furniture Manufacturing</t>
  </si>
  <si>
    <t>33712N</t>
  </si>
  <si>
    <t>Household Furniture (except Wood and Metal) Manufacturing</t>
  </si>
  <si>
    <t>Institutional Furniture Manufacturing</t>
  </si>
  <si>
    <t>Wood Office Furniture Manufacturing</t>
  </si>
  <si>
    <t>33721A</t>
  </si>
  <si>
    <t>Custom Architectural Woodwork and Millwork Manufacturing</t>
  </si>
  <si>
    <t>Office Furniture (except Wood) Manufacturing</t>
  </si>
  <si>
    <t>Showcase, Partition, Shelving, and Locker Manufacturing</t>
  </si>
  <si>
    <t>Mattress Manufacturing</t>
  </si>
  <si>
    <t>Blind and Shade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</si>
  <si>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</si>
  <si>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</si>
  <si>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</si>
  <si>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</si>
  <si>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</si>
  <si>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</si>
  <si>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</si>
  <si>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</si>
  <si>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</si>
  <si>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</si>
  <si>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</si>
  <si>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</si>
  <si>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</si>
  <si>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</si>
  <si>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</si>
  <si>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All Other Miscellaneous Manufacturing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</si>
  <si>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</si>
  <si>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</si>
  <si>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</si>
  <si>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</si>
  <si>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</si>
  <si>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423A00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</si>
  <si>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</si>
  <si>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</si>
  <si>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</si>
  <si>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</si>
  <si>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</si>
  <si>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</si>
  <si>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</si>
  <si>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</si>
  <si>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</si>
  <si>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</si>
  <si>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</si>
  <si>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</si>
  <si>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Service Centers and Other Metal Merchant Wholesalers</t>
  </si>
  <si>
    <t>Coal and Other Mineral and Ore Merchant Wholesalers</t>
  </si>
  <si>
    <t>Electrical Apparatus and Equipment, Wiring Supplies, and Related Equipment Merchant Wholesalers</t>
  </si>
  <si>
    <t>Household Appliances, Electric Housewares, and Consumer Electronics Merchant Wholesalers</t>
  </si>
  <si>
    <t>Other Electronic Parts and Equipment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</si>
  <si>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</si>
  <si>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</si>
  <si>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</si>
  <si>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</si>
  <si>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</si>
  <si>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</si>
  <si>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</si>
  <si>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</si>
  <si>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</si>
  <si>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</si>
  <si>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Sporting and Recreational Goods and Supplies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</si>
  <si>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</si>
  <si>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</si>
  <si>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</si>
  <si>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</si>
  <si>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</si>
  <si>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424A00</t>
  </si>
  <si>
    <t>Stationery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</si>
  <si>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</si>
  <si>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</si>
  <si>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</si>
  <si>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</si>
  <si>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</si>
  <si>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</si>
  <si>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</si>
  <si>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</si>
  <si>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</si>
  <si>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</si>
  <si>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</si>
  <si>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</si>
  <si>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</si>
  <si>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</si>
  <si>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</si>
  <si>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</si>
  <si>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</si>
  <si>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</si>
  <si>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</si>
  <si>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</si>
  <si>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Bulk Stations and Terminals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</si>
  <si>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</si>
  <si>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</si>
  <si>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</si>
  <si>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</si>
  <si>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</si>
  <si>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</si>
  <si>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</si>
  <si>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</si>
  <si>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</si>
  <si>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Business to Business Electronic Markets</t>
  </si>
  <si>
    <t>Wholesale Trade Agents and Brokers</t>
  </si>
  <si>
    <t>New Car Dealers</t>
  </si>
  <si>
    <t>Used Car Dealers</t>
  </si>
  <si>
    <t>Recreational Vehicle Dealers</t>
  </si>
  <si>
    <t>Boat Dealers</t>
  </si>
  <si>
    <t>Motorcycle, ATV, and All Other Motor Vehicle Dealers</t>
  </si>
  <si>
    <t>Automotive Parts and Accessories Stores</t>
  </si>
  <si>
    <t>Tire Dealers</t>
  </si>
  <si>
    <t>Furniture Stores</t>
  </si>
  <si>
    <t>4B0000</t>
  </si>
  <si>
    <t>Floor Covering Stores</t>
  </si>
  <si>
    <t>Window Treatment Stores</t>
  </si>
  <si>
    <t>All Other Home Furnishings Stores</t>
  </si>
  <si>
    <t>Household Appliance Stores</t>
  </si>
  <si>
    <t>Electronics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</si>
  <si>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</si>
  <si>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</si>
  <si>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</si>
  <si>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</si>
  <si>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</si>
  <si>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</si>
  <si>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</si>
  <si>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</si>
  <si>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</si>
  <si>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</si>
  <si>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</si>
  <si>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</si>
  <si>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</si>
  <si>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</si>
  <si>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</si>
  <si>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</si>
  <si>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</si>
  <si>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</si>
  <si>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</si>
  <si>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</si>
  <si>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</si>
  <si>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</si>
  <si>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</si>
  <si>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</si>
  <si>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</si>
  <si>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</si>
  <si>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</si>
  <si>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</si>
  <si>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</si>
  <si>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</si>
  <si>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</si>
  <si>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</si>
  <si>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</si>
  <si>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</si>
  <si>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</si>
  <si>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</si>
  <si>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</si>
  <si>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Department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</si>
  <si>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</si>
  <si>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</si>
  <si>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</si>
  <si>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</si>
  <si>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</si>
  <si>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</si>
  <si>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</si>
  <si>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</si>
  <si>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</si>
  <si>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</si>
  <si>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</si>
  <si>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Electronic Shopping and Mail-Order Houses</t>
  </si>
  <si>
    <t>Vending Machine Operators</t>
  </si>
  <si>
    <t>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</si>
  <si>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</si>
  <si>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</si>
  <si>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</si>
  <si>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</si>
  <si>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</si>
  <si>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</si>
  <si>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</si>
  <si>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</si>
  <si>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</si>
  <si>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</si>
  <si>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</si>
  <si>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</si>
  <si>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</si>
  <si>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</si>
  <si>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Local</t>
  </si>
  <si>
    <t>General Freight Trucking, Long-Distance, Truckload</t>
  </si>
  <si>
    <t>General Freight Trucking, Long-Distance, Less Than Truckload</t>
  </si>
  <si>
    <t>Used Household and Office Goods Moving</t>
  </si>
  <si>
    <t>Specialized Freight (except Used Goods) Trucking, Local</t>
  </si>
  <si>
    <t>Specialized Freight (except Used Goods) Trucking, Long-Distance</t>
  </si>
  <si>
    <t>Mixed Mode Transit Systems</t>
  </si>
  <si>
    <t>Commuter Rail Systems</t>
  </si>
  <si>
    <t>Bus and Other Motor Vehicle Transit Systems</t>
  </si>
  <si>
    <t>Other Urban Transit Systems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</si>
  <si>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</si>
  <si>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</si>
  <si>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</si>
  <si>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</si>
  <si>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</si>
  <si>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Special Needs Transportation</t>
  </si>
  <si>
    <t>All Other Transit and Ground Passenger Transportation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</si>
  <si>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</si>
  <si>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</si>
  <si>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</si>
  <si>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</si>
  <si>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</si>
  <si>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48A000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</si>
  <si>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</si>
  <si>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</si>
  <si>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</si>
  <si>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</si>
  <si>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</si>
  <si>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</si>
  <si>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Harbor Operations</t>
  </si>
  <si>
    <t>Marine Cargo Handling</t>
  </si>
  <si>
    <t>Navigational Services to Shipping</t>
  </si>
  <si>
    <t>Other Support Activities for Water Transportation</t>
  </si>
  <si>
    <t>Motor Vehicle Towing</t>
  </si>
  <si>
    <t>Other Support Activities for Road Transportation</t>
  </si>
  <si>
    <t>Freight Transportation Arrangement</t>
  </si>
  <si>
    <t>Packing and Crating</t>
  </si>
  <si>
    <t>All Other Support Activities for Transportation</t>
  </si>
  <si>
    <t>Postal Service</t>
  </si>
  <si>
    <t>Couriers and Express Delivery Services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</si>
  <si>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</si>
  <si>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</si>
  <si>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</si>
  <si>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</si>
  <si>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</si>
  <si>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Newspaper Publishers</t>
  </si>
  <si>
    <t>Periodical Publishers</t>
  </si>
  <si>
    <t>Book Publishers</t>
  </si>
  <si>
    <t>Directory and Mailing List Publishers</t>
  </si>
  <si>
    <t>5111A0</t>
  </si>
  <si>
    <t>Greeting Card Publishers</t>
  </si>
  <si>
    <t>All Other Publishers</t>
  </si>
  <si>
    <t>Software Publishers</t>
  </si>
  <si>
    <t>Motion Picture and Video Production</t>
  </si>
  <si>
    <t>Motion Picture and Video Distribution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</si>
  <si>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</si>
  <si>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</si>
  <si>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</si>
  <si>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</si>
  <si>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Music Publishers</t>
  </si>
  <si>
    <t>Sound Recording Studios</t>
  </si>
  <si>
    <t>Record Production and Distribution</t>
  </si>
  <si>
    <t>Other Sound Recording Industries</t>
  </si>
  <si>
    <t>Radio Networks</t>
  </si>
  <si>
    <t>Radio Stations</t>
  </si>
  <si>
    <t>Television Broadcasting</t>
  </si>
  <si>
    <t>Cable and Other Subscription Programming</t>
  </si>
  <si>
    <t>Wired Telecommunications Carriers</t>
  </si>
  <si>
    <t>Wireless Telecommunications Carriers (except Satellite)</t>
  </si>
  <si>
    <t>Satellite Telecommunications</t>
  </si>
  <si>
    <t>517A00</t>
  </si>
  <si>
    <t>Telecommunications Resellers</t>
  </si>
  <si>
    <t>All Other Telecommunications</t>
  </si>
  <si>
    <t>Data Processing, Hosting, and Related Services</t>
  </si>
  <si>
    <t>News Syndicates</t>
  </si>
  <si>
    <t>5191A0</t>
  </si>
  <si>
    <t>Libraries and Archives</t>
  </si>
  <si>
    <t>Internet Publishing and Broadcasting and Web Search Portals</t>
  </si>
  <si>
    <t>All Other Information Services</t>
  </si>
  <si>
    <t>Monetary Authorities-Central Bank</t>
  </si>
  <si>
    <t>52A000</t>
  </si>
  <si>
    <t>Commercial Banking</t>
  </si>
  <si>
    <t>Savings Institutions</t>
  </si>
  <si>
    <t>Credit Unions</t>
  </si>
  <si>
    <t>Other Depository Credit Intermediation</t>
  </si>
  <si>
    <t>Credit Card Issuing</t>
  </si>
  <si>
    <t>522A00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</si>
  <si>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</si>
  <si>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</si>
  <si>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</si>
  <si>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</si>
  <si>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</si>
  <si>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</si>
  <si>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</si>
  <si>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</si>
  <si>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</si>
  <si>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</si>
  <si>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523A00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</si>
  <si>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</si>
  <si>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</si>
  <si>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</si>
  <si>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</si>
  <si>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</si>
  <si>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</si>
  <si>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</si>
  <si>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</si>
  <si>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</si>
  <si>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Direct Life Insurance Carriers</t>
  </si>
  <si>
    <t>Direct Health and Medical Insurance Carriers</t>
  </si>
  <si>
    <t>5241XX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</si>
  <si>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</si>
  <si>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</si>
  <si>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</si>
  <si>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</si>
  <si>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</si>
  <si>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</si>
  <si>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</si>
  <si>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</si>
  <si>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</si>
  <si>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</si>
  <si>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</si>
  <si>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</si>
  <si>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</si>
  <si>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</si>
  <si>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Lessors of Residential Buildings and Dwellings</t>
  </si>
  <si>
    <t>531HSO, 531HST</t>
  </si>
  <si>
    <t>Lessors of Nonresidential Buildings (excpet Miniwarehouses)</t>
  </si>
  <si>
    <t>531ORE</t>
  </si>
  <si>
    <t>Lessors of Miniwarehouses and Self-Storage Units</t>
  </si>
  <si>
    <t>Lessors of Other Real Estate Property</t>
  </si>
  <si>
    <t>Offices of Real Estate Agents and Brokers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</si>
  <si>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</si>
  <si>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</si>
  <si>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</si>
  <si>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</si>
  <si>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</si>
  <si>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</si>
  <si>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Truck, Utility Trailer, and RV (Recreational Vehicle) Rental and Leasing</t>
  </si>
  <si>
    <t>Consumer Electronics and Appliances Rental</t>
  </si>
  <si>
    <t>532A00</t>
  </si>
  <si>
    <t>Formal Wear and Costume Rental</t>
  </si>
  <si>
    <t>Video Tape and Disc Rental</t>
  </si>
  <si>
    <t>Home Health Equipment Rental</t>
  </si>
  <si>
    <t>Recreational Goods Rental</t>
  </si>
  <si>
    <t>All Other Consumer Goods Rental</t>
  </si>
  <si>
    <t>General Rental Centers</t>
  </si>
  <si>
    <t>Commercial Air, Rail, and Water Transportation Equipment Rental and Leasing</t>
  </si>
  <si>
    <t>Construction, Mining, and Forestry Machinery and Equipment Rental and Leasing</t>
  </si>
  <si>
    <t>Office Machinery and Equipment Rental and Leasing</t>
  </si>
  <si>
    <t>Other Commercial and Industrial Machinery and Equipment Rental and Leasing</t>
  </si>
  <si>
    <t>Lessors of Nonfinancial Intangible Assets (except Copyrighted Works)</t>
  </si>
  <si>
    <t>Offices of Lawyers</t>
  </si>
  <si>
    <t>Offices of Notaries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</si>
  <si>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</si>
  <si>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</si>
  <si>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</si>
  <si>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</si>
  <si>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</si>
  <si>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</si>
  <si>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</si>
  <si>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</si>
  <si>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</si>
  <si>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</si>
  <si>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</si>
  <si>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</si>
  <si>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</si>
  <si>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</si>
  <si>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</si>
  <si>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</si>
  <si>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</si>
  <si>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</si>
  <si>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Custom Computer Programming Services</t>
  </si>
  <si>
    <t>Computer Systems Design Services</t>
  </si>
  <si>
    <t>Computer Facilities Management Services</t>
  </si>
  <si>
    <t>54151A</t>
  </si>
  <si>
    <t>Other Computer Related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</si>
  <si>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</si>
  <si>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</si>
  <si>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</si>
  <si>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</si>
  <si>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</si>
  <si>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</si>
  <si>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5416A0</t>
  </si>
  <si>
    <t>Other Scientific and Technical Consulting Services</t>
  </si>
  <si>
    <t>Research and Development in Nanotechnology</t>
  </si>
  <si>
    <t>Research and Development in Biotechnology (except Nanobiotechnology)</t>
  </si>
  <si>
    <t>Research and Development in the Physical, Engineering, and Life Sciences (except Nanotechnology and Biotechnology)</t>
  </si>
  <si>
    <t>Research and Development in the Social Sciences and Humanities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</si>
  <si>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</si>
  <si>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</si>
  <si>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</si>
  <si>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</si>
  <si>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</si>
  <si>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</si>
  <si>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</si>
  <si>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</si>
  <si>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>Marketing Research and Public Opinion Polling</t>
  </si>
  <si>
    <t>5419A0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</si>
  <si>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</si>
  <si>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</si>
  <si>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</si>
  <si>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</si>
  <si>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</si>
  <si>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Offices of Bank Holding Companies</t>
  </si>
  <si>
    <t>Offices of Other Holding Companies</t>
  </si>
  <si>
    <t>Corporate, Subsidiary, and Regional Managing Offices</t>
  </si>
  <si>
    <t>Office Administrative Services</t>
  </si>
  <si>
    <t>Facilities Support Services</t>
  </si>
  <si>
    <t>Employment Placement Agencies</t>
  </si>
  <si>
    <t>Executive Search Services</t>
  </si>
  <si>
    <t>Temporary Help Services</t>
  </si>
  <si>
    <t>Professional Employer Organizations</t>
  </si>
  <si>
    <t>Document Preparation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</si>
  <si>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</si>
  <si>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</si>
  <si>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</si>
  <si>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</si>
  <si>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Collection Agencies</t>
  </si>
  <si>
    <t>Credit Bureaus</t>
  </si>
  <si>
    <t>Repossession Services</t>
  </si>
  <si>
    <t>Court Reporting and Stenotype Services</t>
  </si>
  <si>
    <t>All Other Business Support Services</t>
  </si>
  <si>
    <t>Travel Agencies</t>
  </si>
  <si>
    <t>Tour Operators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</si>
  <si>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</si>
  <si>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</si>
  <si>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</si>
  <si>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</si>
  <si>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</si>
  <si>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</si>
  <si>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</si>
  <si>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</si>
  <si>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</si>
  <si>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</si>
  <si>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</si>
  <si>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</si>
  <si>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</si>
  <si>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</si>
  <si>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</si>
  <si>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Solid Waste Collection</t>
  </si>
  <si>
    <t>Hazardous Waste Collection</t>
  </si>
  <si>
    <t>Other Waste Collection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</si>
  <si>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</si>
  <si>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</si>
  <si>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</si>
  <si>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</si>
  <si>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</si>
  <si>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Materials Recovery Facilities</t>
  </si>
  <si>
    <t>Septic Tank and Related Services</t>
  </si>
  <si>
    <t>All Other Miscellaneous Waste Management Services</t>
  </si>
  <si>
    <t>Elementary and Secondary Schools</t>
  </si>
  <si>
    <t>Junior Colleges</t>
  </si>
  <si>
    <t>611A00</t>
  </si>
  <si>
    <t>Colleges, Universities, and Professional Schools</t>
  </si>
  <si>
    <t>Business and Secretarial Schools</t>
  </si>
  <si>
    <t>611B00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</si>
  <si>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</si>
  <si>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</si>
  <si>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</si>
  <si>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</si>
  <si>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</si>
  <si>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</si>
  <si>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</si>
  <si>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</si>
  <si>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</si>
  <si>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</si>
  <si>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</si>
  <si>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</si>
  <si>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</si>
  <si>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Offices of Physicians (except Mental Health Specialists)</t>
  </si>
  <si>
    <t>Offices of Physicians, Mental Health Specialists</t>
  </si>
  <si>
    <t>Offices of Dentists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</si>
  <si>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</si>
  <si>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</si>
  <si>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</si>
  <si>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</si>
  <si>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Podiatrists</t>
  </si>
  <si>
    <t>Offices of All Other Miscellaneous Health Practitioners</t>
  </si>
  <si>
    <t>Family Planning Centers</t>
  </si>
  <si>
    <t>Outpatient Mental Health and Substance Abuse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</si>
  <si>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</si>
  <si>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</si>
  <si>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</si>
  <si>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</si>
  <si>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</si>
  <si>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</si>
  <si>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Home Health Care Services</t>
  </si>
  <si>
    <t>Ambulance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</si>
  <si>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</si>
  <si>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</si>
  <si>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</si>
  <si>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</si>
  <si>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</si>
  <si>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</si>
  <si>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623A00</t>
  </si>
  <si>
    <t>Residential Intellectual and Developmental Disability Facilities</t>
  </si>
  <si>
    <t>623B00</t>
  </si>
  <si>
    <t>Residential Mental Health and Substance Abuse Facilities</t>
  </si>
  <si>
    <t>Continuing Care Retirement Communities</t>
  </si>
  <si>
    <t>Assisted Living Facilities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</si>
  <si>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</si>
  <si>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</si>
  <si>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</si>
  <si>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</si>
  <si>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</si>
  <si>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624A00</t>
  </si>
  <si>
    <t>Temporary Shelters</t>
  </si>
  <si>
    <t>Other Community Housing Services</t>
  </si>
  <si>
    <t>Emergency and Other Relief Services</t>
  </si>
  <si>
    <t>Vocational Rehabilitation Services</t>
  </si>
  <si>
    <t>Child Day Care Services</t>
  </si>
  <si>
    <t>Theater Companies and Dinner Theaters</t>
  </si>
  <si>
    <t>Dance Companies</t>
  </si>
  <si>
    <t>Musical Groups and Artists</t>
  </si>
  <si>
    <t>Other Performing Arts Companies</t>
  </si>
  <si>
    <t>Sports Teams and Clubs</t>
  </si>
  <si>
    <t>Racetracks</t>
  </si>
  <si>
    <t>Other Spectator Sports</t>
  </si>
  <si>
    <t>Promoters of Performing Arts, Sports, and Similar Events with Facilities</t>
  </si>
  <si>
    <t>711A00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</si>
  <si>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</si>
  <si>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</si>
  <si>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</si>
  <si>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</t>
  </si>
  <si>
    <t>Historical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</si>
  <si>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</si>
  <si>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</si>
  <si>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</si>
  <si>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</si>
  <si>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</si>
  <si>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Other Gambling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</si>
  <si>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</si>
  <si>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</si>
  <si>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</si>
  <si>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</si>
  <si>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</si>
  <si>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</si>
  <si>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</si>
  <si>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</si>
  <si>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</si>
  <si>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</si>
  <si>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</si>
  <si>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</si>
  <si>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Houses, Dormitories, and Workers' Camps</t>
  </si>
  <si>
    <t>Food Service Contractors</t>
  </si>
  <si>
    <t>722A00</t>
  </si>
  <si>
    <t>Caterers</t>
  </si>
  <si>
    <t>Mobile Food Services</t>
  </si>
  <si>
    <t>Drinking Places (Alcoholic Beverages)</t>
  </si>
  <si>
    <t>Full-Service Restaurants</t>
  </si>
  <si>
    <t>Limited-Service Restaurants</t>
  </si>
  <si>
    <t>Cafeterias, Grill Buffets, and Buffets</t>
  </si>
  <si>
    <t>Snack and Nonalcoholic Beverage Bars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</si>
  <si>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</si>
  <si>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</si>
  <si>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</si>
  <si>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</si>
  <si>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</si>
  <si>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</si>
  <si>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</si>
  <si>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</si>
  <si>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</si>
  <si>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</si>
  <si>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</si>
  <si>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</si>
  <si>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</si>
  <si>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</si>
  <si>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</si>
  <si>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</si>
  <si>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</si>
  <si>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</si>
  <si>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</si>
  <si>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</si>
  <si>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</si>
  <si>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</si>
  <si>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</si>
  <si>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</si>
  <si>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</si>
  <si>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</si>
  <si>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</si>
  <si>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</si>
  <si>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</si>
  <si>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</si>
  <si>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</si>
  <si>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</si>
  <si>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</si>
  <si>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</si>
  <si>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</si>
  <si>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</si>
  <si>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</si>
  <si>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813A00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</si>
  <si>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</si>
  <si>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</si>
  <si>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</si>
  <si>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</si>
  <si>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</si>
  <si>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</si>
  <si>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813B00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</si>
  <si>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</si>
  <si>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</si>
  <si>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</si>
  <si>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</si>
  <si>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</si>
  <si>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 xml:space="preserve"> without Margins</t>
  </si>
  <si>
    <t xml:space="preserve">Margins </t>
  </si>
  <si>
    <t xml:space="preserve"> with Margins</t>
  </si>
  <si>
    <t xml:space="preserve">Emission Category </t>
  </si>
  <si>
    <t xml:space="preserve">Margin Contribution </t>
  </si>
  <si>
    <t>STATISTICS SUMMARY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</si>
  <si>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</si>
  <si>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</si>
  <si>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</si>
  <si>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</si>
  <si>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</si>
  <si>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</si>
  <si>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</si>
  <si>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</si>
  <si>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</si>
  <si>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</si>
  <si>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</si>
  <si>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</si>
  <si>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Statics Summary of SCEF with margins </t>
  </si>
  <si>
    <t xml:space="preserve">INDUSTRY vs EMISSION </t>
  </si>
  <si>
    <t>Row Labels</t>
  </si>
  <si>
    <t>Grand Total</t>
  </si>
  <si>
    <t>Average of With Margins</t>
  </si>
  <si>
    <t>Low</t>
  </si>
  <si>
    <t>Industry</t>
  </si>
  <si>
    <t xml:space="preserve">EMISSION CATEGORY COUNT </t>
  </si>
  <si>
    <t>High</t>
  </si>
  <si>
    <t xml:space="preserve">Count of Emission Category </t>
  </si>
  <si>
    <t>Max of With Margins</t>
  </si>
  <si>
    <t xml:space="preserve">TOP 10 POLLUTING INDUSTRY </t>
  </si>
  <si>
    <t xml:space="preserve">INDUSTRY Vs MARGIN CONTRIBUTION </t>
  </si>
  <si>
    <t xml:space="preserve">Average of Margin Contribution </t>
  </si>
  <si>
    <t xml:space="preserve"> without Margins ( $)</t>
  </si>
  <si>
    <t>Margins ($)</t>
  </si>
  <si>
    <t>With Margins ($)</t>
  </si>
  <si>
    <t>Emission Difference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</si>
</sst>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0.0%"/>
    <numFmt numFmtId="165" formatCode="0.00;[Red]0.00"/>
    <numFmt numFmtId="167" formatCode="_-[$$-409]* #,##0.00_ ;_-[$$-409]* \-#,##0.00\ ;_-[$$-409]* &quot;-&quot;??_ ;_-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164" fontId="0" fillId="0" borderId="0" xfId="42" applyNumberFormat="1" applyFont="1"/>
    <xf numFmtId="164" fontId="0" fillId="0" borderId="0" xfId="42" applyNumberFormat="1" applyFont="1" applyAlignment="1">
      <alignment horizontal="center" vertical="center" wrapText="1"/>
    </xf>
    <xf numFmtId="0" fontId="19" fillId="0" borderId="0" xfId="0" applyFont="1"/>
    <xf numFmtId="0" fontId="17" fillId="0" borderId="0" xfId="0" applyFont="1" applyAlignment="1">
      <alignment horizontal="center" vertical="center" wrapText="1"/>
    </xf>
    <xf numFmtId="0" fontId="21" fillId="0" borderId="0" xfId="0" applyFont="1"/>
    <xf numFmtId="0" fontId="0" fillId="0" borderId="10" xfId="0" applyBorder="1"/>
    <xf numFmtId="0" fontId="0" fillId="0" borderId="0" xfId="0" pivotButton="1"/>
    <xf numFmtId="0" fontId="21" fillId="0" borderId="0" xfId="0" applyFont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/>
    <xf numFmtId="0" fontId="0" fillId="0" borderId="11" xfId="0" pivotButton="1" applyBorder="1"/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2" fontId="0" fillId="0" borderId="10" xfId="0" applyNumberFormat="1" applyBorder="1"/>
    <xf numFmtId="165" fontId="0" fillId="0" borderId="10" xfId="0" applyNumberFormat="1" applyBorder="1"/>
    <xf numFmtId="9" fontId="0" fillId="0" borderId="10" xfId="0" applyNumberFormat="1" applyBorder="1"/>
    <xf numFmtId="0" fontId="21" fillId="0" borderId="0" xfId="0" applyFont="1" applyAlignment="1">
      <alignment horizontal="left"/>
    </xf>
    <xf numFmtId="0" fontId="20" fillId="0" borderId="10" xfId="0" applyFont="1" applyBorder="1" applyAlignment="1">
      <alignment horizontal="center"/>
    </xf>
    <xf numFmtId="167" fontId="0" fillId="0" borderId="0" xfId="0" applyNumberFormat="1"/>
    <xf numFmtId="167" fontId="0" fillId="0" borderId="0" xfId="43" applyNumberFormat="1" applyFont="1"/>
    <xf numFmtId="167" fontId="0" fillId="0" borderId="0" xfId="0" applyNumberFormat="1" applyAlignment="1">
      <alignment horizontal="center" vertical="center" wrapText="1"/>
    </xf>
    <xf numFmtId="0" fontId="0" fillId="0" borderId="0" xfId="0" applyNumberFormat="1"/>
    <xf numFmtId="0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;[Red]0.00"/>
    </dxf>
    <dxf>
      <numFmt numFmtId="165" formatCode="0.00;[Red]0.00"/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left" vertical="center" textRotation="0" wrapText="0" indent="0" justifyLastLine="0" shrinkToFit="0" readingOrder="0"/>
    </dxf>
    <dxf>
      <numFmt numFmtId="165" formatCode="0.00;[Red]0.00"/>
    </dxf>
    <dxf>
      <numFmt numFmtId="165" formatCode="0.00;[Red]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0.0%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9DE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ishu" refreshedDate="46150.005466435185" createdVersion="8" refreshedVersion="8" minRefreshableVersion="3" recordCount="1016" xr:uid="{A22CB197-5A71-4FA5-B80A-C43ACB7D064A}">
  <cacheSource type="worksheet">
    <worksheetSource name="SCE_Ds"/>
  </cacheSource>
  <cacheFields count="9">
    <cacheField name="2017 NAICS Code" numFmtId="0">
      <sharedItems containsSemiMixedTypes="0" containsString="0" containsNumber="1" containsInteger="1" minValue="111110" maxValue="813990"/>
    </cacheField>
    <cacheField name="Reference USEEIO Code" numFmtId="0">
      <sharedItems containsMixedTypes="1" containsNumber="1" containsInteger="1" minValue="111200" maxValue="813100"/>
    </cacheField>
    <cacheField name="Industry" numFmtId="0">
      <sharedItems count="1016">
        <s v="Soybean Farming"/>
        <s v="Oilseed (except Soybean) Farming"/>
        <s v="Dry Pea and Bean Farming"/>
        <s v="Wheat Farming"/>
        <s v="Corn Farming"/>
        <s v="Rice Farming"/>
        <s v="Oilseed and Grain Combination Farming"/>
        <s v="All Other Grain Farming"/>
        <s v="Potato Farming"/>
        <s v="Other Vegetable (except Potato) and Melon Farming"/>
        <s v="Orange Groves"/>
        <s v="Citrus (except Orange) Groves"/>
        <s v="Apple Orchards"/>
        <s v="Grape Vineyards"/>
        <s v="Strawberry Farming"/>
        <s v="Berry (except Strawberry) Farming"/>
        <s v="Tree Nut Farming"/>
        <s v="Fruit and Tree Nut Combination Farming"/>
        <s v="Other Noncitrus Fruit Farming"/>
        <s v="Mushroom Production"/>
        <s v="Other Food Crops Grown Under Cover"/>
        <s v="Nursery and Tree Production"/>
        <s v="Floriculture Production"/>
        <s v="Tobacco Farming"/>
        <s v="Cotton Farming"/>
        <s v="Sugarcane Farming"/>
        <s v="Hay Farming"/>
        <s v="Sugar Beet Farming"/>
        <s v="Peanut Farming"/>
        <s v="All Other Miscellaneous Crop Farming"/>
        <s v="Beef Cattle Ranching and Farming"/>
        <s v="Cattle Feedlots"/>
        <s v="Dairy Cattle and Milk Production"/>
        <s v="Dual-Purpose Cattle Ranching and Farming"/>
        <s v="Hog and Pig Farming"/>
        <s v="Chicken Egg Production"/>
        <s v="Broilers and Other Meat Type Chicken Production"/>
        <s v="Turkey Production"/>
        <s v="Poultry Hatcheries"/>
        <s v="Other Poultry Production"/>
        <s v="Sheep Farming"/>
        <s v="Goat Farming"/>
        <s v="Finfish Farming and Fish Hatcheries"/>
        <s v="Shellfish Farming"/>
        <s v="Other Aquaculture"/>
        <s v="Apiculture"/>
        <s v="Horses and Other Equine Production"/>
        <s v="Fur-Bearing Animal and Rabbit Production"/>
        <s v="All Other Animal Production"/>
        <s v="Timber Tract Operations"/>
        <s v="Forest Nurseries and Gathering of Forest Products"/>
        <s v="Logging"/>
        <s v="Finfish Fishing"/>
        <s v="Shellfish Fishing"/>
        <s v="Other Marine Fishing"/>
        <s v="Hunting and Trapping"/>
        <s v="Cotton Ginning"/>
        <s v="Soil Preparation, Planting, and Cultivating"/>
        <s v="Crop Harvesting, Primarily by Machine"/>
        <s v="Postharvest Crop Activities (except Cotton Ginning)"/>
        <s v="Farm Labor Contractors and Crew Leaders"/>
        <s v="Farm Management Services"/>
        <s v="Support Activities for Animal Production"/>
        <s v="Support Activities for Forestry"/>
        <s v="Crude Petroleum Extraction"/>
        <s v="Natural Gas Extraction"/>
        <s v="Bituminous Coal and Lignite Surface Mining"/>
        <s v="Bituminous Coal Underground Mining"/>
        <s v="Anthracite Mining"/>
        <s v="Iron Ore Mining"/>
        <s v="Gold Ore Mining"/>
        <s v="Silver Ore Mining"/>
        <s v="Copper, Nickel, Lead, and Zinc Mining"/>
        <s v="Uranium-Radium-Vanadium Ore Mining"/>
        <s v="All Other Metal Ore Mining"/>
        <s v="Dimension Stone Mining and Quarrying"/>
        <s v="Crushed and Broken Limestone Mining and Quarrying"/>
        <s v="Crushed and Broken Granite Mining and Quarrying"/>
        <s v="Other Crushed and Broken Stone Mining and Quarrying"/>
        <s v="Construction Sand and Gravel Mining"/>
        <s v="Industrial Sand Mining"/>
        <s v="Kaolin and Ball Clay Mining"/>
        <s v="Clay and Ceramic and Refractory Minerals Mining"/>
        <s v="Potash, Soda, and Borate Mineral Mining"/>
        <s v="Phosphate Rock Mining"/>
        <s v="Other Chemical and Fertilizer Mineral Mining"/>
        <s v="All Other Nonmetallic Mineral Mining"/>
        <s v="Drilling Oil and Gas Wells"/>
        <s v="Support Activities for Oil and Gas Operations"/>
        <s v="Support Activities for Coal Mining"/>
        <s v="Support Activities for Metal Mining"/>
        <s v="Support Activities for Nonmetallic Minerals (except Fuels) Mining"/>
        <s v="Natural Gas Distribution"/>
        <s v="Water Supply and Irrigation Systems"/>
        <s v="Sewage Treatment Facilities"/>
        <s v="Steam and Air-Conditioning Supply"/>
        <s v="New Single-Family Housing Construction (except For-Sale Builders)"/>
        <s v="New Multifamily Housing Construction (except For-Sale Builders)"/>
        <s v="New Housing For-Sale Builders"/>
        <s v="Residential Remodelers"/>
        <s v="Industrial Building Construction"/>
        <s v="Commercial and Institutional Building Construction"/>
        <s v="Water and Sewer Line and Related Structures Construction"/>
        <s v="Oil and Gas Pipeline and Related Structures Construction"/>
        <s v="Power and Communication Line and Related Structures Construction"/>
        <s v="Land Subdivision"/>
        <s v="Highway, Street, and Bridge Construction"/>
        <s v="Other Heavy and Civil Engineering Construction"/>
        <s v="Poured Concrete Foundation and Structure Contractors"/>
        <s v="Structural Steel and Precast Concrete Contractors"/>
        <s v="Framing Contractors"/>
        <s v="Masonry Contractors"/>
        <s v="Glass and Glazing Contractors"/>
        <s v="Roofing Contractors"/>
        <s v="Siding Contractors"/>
        <s v="Other Foundation, Structure, and Building Exterior Contractors"/>
        <s v="Electrical Contractors and Other Wiring Installation Contractors"/>
        <s v="Plumbing, Heating, and Air-Conditioning Contractors"/>
        <s v="Other Building Equipment Contractors"/>
        <s v="Drywall and Insulation Contractors"/>
        <s v="Painting and Wall Covering Contractors"/>
        <s v="Flooring Contractors"/>
        <s v="Tile and Terrazzo Contractors"/>
        <s v="Finish Carpentry Contractors"/>
        <s v="Other Building Finishing Contractors"/>
        <s v="Site Preparation Contractors"/>
        <s v="All Other Specialty Trade Contractors"/>
        <s v="Dog and Cat Food Manufacturing"/>
        <s v="Other Animal Food Manufacturing"/>
        <s v="Flour Milling"/>
        <s v="Rice Milling"/>
        <s v="Malt Manufacturing"/>
        <s v="Wet Corn Milling"/>
        <s v="Soybean and Other Oilseed Processing"/>
        <s v="Fats and Oils Refining and Blending"/>
        <s v="Breakfast Cereal Manufacturing"/>
        <s v="Beet Sugar Manufacturing"/>
        <s v="Cane Sugar Manufacturing"/>
        <s v="Nonchocolate Confectionery Manufacturing"/>
        <s v="Chocolate and Confectionery Manufacturing from Cacao Beans"/>
        <s v="Confectionery Manufacturing from Purchased Chocolate"/>
        <s v="Frozen Fruit, Juice, and Vegetable Manufacturing"/>
        <s v="Frozen Specialty Food Manufacturing"/>
        <s v="Fruit and Vegetable Canning"/>
        <s v="Specialty Canning"/>
        <s v="Dried and Dehydrated Food Manufacturing"/>
        <s v="Fluid Milk Manufacturing"/>
        <s v="Creamery Butter Manufacturing"/>
        <s v="Cheese Manufacturing"/>
        <s v="Dry, Condensed, and Evaporated Dairy Product Manufacturing"/>
        <s v="Ice Cream and Frozen Dessert Manufacturing"/>
        <s v="Animal (except Poultry) Slaughtering"/>
        <s v="Meat Processed from Carcasses"/>
        <s v="Rendering and Meat Byproduct Processing"/>
        <s v="Poultry Processing"/>
        <s v="Seafood Product Preparation and Packaging"/>
        <s v="Retail Bakeries"/>
        <s v="Commercial Bakeries"/>
        <s v="Frozen Cakes, Pies, and Other Pastries Manufacturing"/>
        <s v="Cookie and Cracker Manufacturing"/>
        <s v="Dry Pasta, Dough, and Flour Mixes Manufacturing from Purchased Flour"/>
        <s v="Tortilla Manufacturing"/>
        <s v="Roasted Nuts and Peanut Butter Manufacturing"/>
        <s v="Other Snack Food Manufacturing"/>
        <s v="Coffee and Tea Manufacturing"/>
        <s v="Flavoring Syrup and Concentrate Manufacturing"/>
        <s v="Mayonnaise, Dressing, and Other Prepared Sauce Manufacturing"/>
        <s v="Spice and Extract Manufacturing"/>
        <s v="Perishable Prepared Food Manufacturing"/>
        <s v="All Other Miscellaneous Food Manufacturing"/>
        <s v="Soft Drink Manufacturing"/>
        <s v="Bottled Water Manufacturing"/>
        <s v="Ice Manufacturing"/>
        <s v="Breweries"/>
        <s v="Wineries"/>
        <s v="Distilleries"/>
        <s v="Tobacco Manufacturing"/>
        <s v="Fiber, Yarn, and Thread Mills"/>
        <s v="Broadwoven Fabric Mills"/>
        <s v="Narrow Fabric Mills and Schiffli Machine Embroidery"/>
        <s v="Nonwoven Fabric Mills"/>
        <s v="Knit Fabric Mills"/>
        <s v="Textile and Fabric Finishing Mills"/>
        <s v="Fabric Coating Mills"/>
        <s v="Carpet and Rug Mills"/>
        <s v="Curtain and Linen Mills"/>
        <s v="Textile Bag and Canvas Mills"/>
        <s v="Rope, Cordage, Twine, Tire Cord, and Tire Fabric Mills"/>
        <s v="All Other Miscellaneous Textile Product Mills"/>
        <s v="Hosiery and Sock Mills"/>
        <s v="Other Apparel Knitting Mills"/>
        <s v="Cut and Sew Apparel Contractors"/>
        <s v="Men's and Boys' Cut and Sew Apparel Manufacturing"/>
        <s v="Women's, Girls', and Infants' Cut and Sew Apparel Manufacturing"/>
        <s v="Other Cut and Sew Apparel Manufacturing"/>
        <s v="Apparel Accessories and Other Apparel Manufacturing"/>
        <s v="Leather and Hide Tanning and Finishing"/>
        <s v="Footwear Manufacturing"/>
        <s v="Women's Handbag and Purse Manufacturing"/>
        <s v="All Other Leather Good and Allied Product Manufacturing"/>
        <s v="Sawmills"/>
        <s v="Wood Preservation"/>
        <s v="Hardwood Veneer and Plywood Manufacturing"/>
        <s v="Softwood Veneer and Plywood Manufacturing"/>
        <s v="Engineered Wood Member (except Truss) Manufacturing"/>
        <s v="Truss Manufacturing"/>
        <s v="Reconstituted Wood Product Manufacturing"/>
        <s v="Wood Window and Door Manufacturing"/>
        <s v="Cut Stock, Resawing Lumber, and Planing"/>
        <s v="Other Millwork (including Flooring)"/>
        <s v="Wood Container and Pallet Manufacturing"/>
        <s v="Manufactured Home (Mobile Home) Manufacturing"/>
        <s v="Prefabricated Wood Building Manufacturing"/>
        <s v="All Other Miscellaneous Wood Product Manufacturing"/>
        <s v="Pulp Mills"/>
        <s v="Paper (except Newsprint) Mills"/>
        <s v="Newsprint Mills"/>
        <s v="Paperboard Mills"/>
        <s v="Corrugated and Solid Fiber Box Manufacturing"/>
        <s v="Folding Paperboard Box Manufacturing"/>
        <s v="Other Paperboard Container Manufacturing"/>
        <s v="Paper Bag and Coated and Treated Paper Manufacturing"/>
        <s v="Stationery Product Manufacturing"/>
        <s v="Sanitary Paper Product Manufacturing"/>
        <s v="All Other Converted Paper Product Manufacturing"/>
        <s v="Commercial Printing (except Screen and Books)"/>
        <s v="Commercial Screen Printing"/>
        <s v="Books Printing"/>
        <s v="Support Activites for Printing"/>
        <s v="Petroleum Refineries"/>
        <s v="Asphalt Paving Mixture and Block Manufacturing"/>
        <s v="Asphalt Shingle and Coating Materials Manufacturing"/>
        <s v="Petroleum Lubricating Oil and Grease Manufacturing"/>
        <s v="All Other Petroleum and Coal Products Manufacturing"/>
        <s v="Petrochemical Manufacturing"/>
        <s v="Industrial Gas Manufacturing"/>
        <s v="Synthetic Dye and Pigment Manufacturing"/>
        <s v="Other Basic Inorganic Chemical Manufacturing"/>
        <s v="Ethyl Alcohol Manufacturing"/>
        <s v="Cyclic Crude, Intermediate, and Gum and Wood Chemical Manufacturing"/>
        <s v="All Other Basic Organic Chemical Manufacturing"/>
        <s v="Plastics Material and Resin Manufacturing"/>
        <s v="Synthetic Rubber Manufacturing"/>
        <s v="Artificial and Synthetic Fibers and Filaments Manufacturing"/>
        <s v="Nitrogenous Fertilizer Manufacturing"/>
        <s v="Phosphatic Fertilizer Manufacturing"/>
        <s v="Fertilizer (Mixing Only) Manufacturing"/>
        <s v="Pesticide and Other Agricultural Chemical Manufacturing"/>
        <s v="Medicinal and Botanical Manufacturing"/>
        <s v="Pharmaceutical Preparation Manufacturing"/>
        <s v="In-Vitro Diagnostic Substance Manufacturing"/>
        <s v="Biological Product (except Diagnostic) Manufacturing"/>
        <s v="Paint and Coating Manufacturing"/>
        <s v="Adhesive Manufacturing"/>
        <s v="Soap and Other Detergent Manufacturing"/>
        <s v="Polish and Other Sanitation Good Manufacturing"/>
        <s v="Surface Active Agent Manufacturing"/>
        <s v="Toilet Preparation Manufacturing"/>
        <s v="Printing Ink Manufacturing"/>
        <s v="Explosives Manufacturing"/>
        <s v="Custom Compounding of Purchased Resins"/>
        <s v="Photographic Film, Paper, Plate, and Chemical Manufacturing"/>
        <s v="All Other Miscellaneous Chemical Product and Preparation Manufacturing"/>
        <s v="Plastics Bag and Pouch Manufacturing"/>
        <s v="Plastics Packaging Film and Sheet (including Laminated) Manufacturing"/>
        <s v="Unlaminated Plastics Film and Sheet (except Packaging) Manufacturing"/>
        <s v="Unlaminated Plastics Profile Shape Manufacturing"/>
        <s v="Plastics Pipe and Pipe Fitting Manufacturing"/>
        <s v="Laminated Plastics Plate, Sheet (except Packaging), and Shape Manufacturing"/>
        <s v="Polystyrene Foam Product Manufacturing"/>
        <s v="Urethane and Other Foam Product (except Polystyrene) Manufacturing"/>
        <s v="Plastics Bottle Manufacturing"/>
        <s v="Plastics Plumbing Fixture Manufacturing"/>
        <s v="All Other Plastics Product Manufacturing"/>
        <s v="Tire Manufacturing (except Retreading)"/>
        <s v="Tire Retreading"/>
        <s v="Rubber and Plastics Hoses and Belting Manufacturing"/>
        <s v="Rubber Product Manufacturing for Mechanical Use"/>
        <s v="All Other Rubber Product Manufacturing"/>
        <s v="Pottery, Ceramics, and Plumbing Fixture Manufacturing"/>
        <s v="Clay Building Material and Refractories Manufacturing"/>
        <s v="Flat Glass Manufacturing"/>
        <s v="Other Pressed and Blown Glass and Glassware Manufacturing"/>
        <s v="Glass Container Manufacturing"/>
        <s v="Glass Product Manufacturing Made of Purchased Glass"/>
        <s v="Cement Manufacturing"/>
        <s v="Ready-Mix Concrete Manufacturing"/>
        <s v="Concrete Block and Brick Manufacturing"/>
        <s v="Concrete Pipe Manufacturing"/>
        <s v="Other Concrete Product Manufacturing"/>
        <s v="Lime Manufacturing"/>
        <s v="Gypsum Product Manufacturing"/>
        <s v="Abrasive Product Manufacturing"/>
        <s v="Cut Stone and Stone Product Manufacturing"/>
        <s v="Ground or Treated Mineral and Earth Manufacturing"/>
        <s v="Mineral Wool Manufacturing"/>
        <s v="All Other Miscellaneous Nonmetallic Mineral Product Manufacturing"/>
        <s v="Iron and Steel Mills and Ferroalloy Manufacturing"/>
        <s v="Iron and Steel Pipe and Tube Manufacturing from Purchased Steel"/>
        <s v="Rolled Steel Shape Manufacturing"/>
        <s v="Steel Wire Drawing"/>
        <s v="Alumina Refining and Primary Aluminum Production"/>
        <s v="Aluminum Sheet, Plate, and Foil Manufacturing"/>
        <s v="Other Aluminum Rolling, Drawing, and Extruding"/>
        <s v="Nonferrous Metal (except Aluminum) Smelting and Refining"/>
        <s v="Copper Rolling, Drawing, Extruding, and Alloying"/>
        <s v="Nonferrous Metal (except Copper and Aluminum) Rolling, Drawing, and Extruding"/>
        <s v="Secondary Smelting, Refining, and Alloying of Nonferrous Metal (except Copper and Aluminum)"/>
        <s v="Iron Foundries"/>
        <s v="Steel Investment Foundries"/>
        <s v="Steel Foundries (except Investment)"/>
        <s v="Nonferrous Metal Die-Casting Foundries"/>
        <s v="Aluminum Foundries (except Die-Casting)"/>
        <s v="Other Nonferrous Metal Foundries (except Die-Casting)"/>
        <s v="Iron and Steel Forging"/>
        <s v="Nonferrous Forging"/>
        <s v="Custom Roll Forming"/>
        <s v="Powder Metallurgy Part Manufacturing"/>
        <s v="Metal Crown, Closure, and Other Metal Stamping (except Automotive)"/>
        <s v="Metal Kitchen Cookware, Utensil, Cutlery, and Flatware (except Precious) Manufacturing"/>
        <s v="Saw Blade and Handtool Manufacturing"/>
        <s v="Prefabricated Metal Building and Component Manufacturing"/>
        <s v="Fabricated Structural Metal Manufacturing"/>
        <s v="Plate Work Manufacturing"/>
        <s v="Metal Window and Door Manufacturing"/>
        <s v="Sheet Metal Work Manufacturing"/>
        <s v="Ornamental and Architectural Metal Work Manufacturing"/>
        <s v="Power Boiler and Heat Exchanger Manufacturing"/>
        <s v="Metal Tank (Heavy Gauge) Manufacturing"/>
        <s v="Metal Can Manufacturing"/>
        <s v="Other Metal Container Manufacturing"/>
        <s v="Hardware Manufacturing"/>
        <s v="Spring Manufacturing"/>
        <s v="Other Fabricated Wire Product Manufacturing"/>
        <s v="Machine Shops"/>
        <s v="Precision Turned Product Manufacturing"/>
        <s v="Bolt, Nut, Screw, Rivet, and Washer Manufacturing"/>
        <s v="Metal Heat Treating"/>
        <s v="Metal Coating, Engraving (except Jewelry and Silverware), and Allied Services to Manufacturers"/>
        <s v="Electroplating, Plating, Polishing, Anodizing, and Coloring"/>
        <s v="Industrial Valve Manufacturing"/>
        <s v="Fluid Power Valve and Hose Fitting Manufacturing"/>
        <s v="Plumbing Fixture Fitting and Trim Manufacturing"/>
        <s v="Other Metal Valve and Pipe Fitting Manufacturing"/>
        <s v="Ball and Roller Bearing Manufacturing"/>
        <s v="Small Arms Ammunition Manufacturing"/>
        <s v="Ammunition (except Small Arms) Manufacturing"/>
        <s v="Small Arms, Ordnance, and Ordnance Accessories Manufacturing"/>
        <s v="Fabricated Pipe and Pipe Fitting Manufacturing"/>
        <s v="All Other Miscellaneous Fabricated Metal Product Manufacturing"/>
        <s v="Farm Machinery and Equipment Manufacturing"/>
        <s v="Lawn and Garden Tractor and Home Lawn and Garden Equipment Manufacturing"/>
        <s v="Construction Machinery Manufacturing"/>
        <s v="Mining Machinery and Equipment Manufacturing"/>
        <s v="Oil and Gas Field Machinery and Equipment Manufacturing"/>
        <s v="Food Product Machinery Manufacturing"/>
        <s v="Semiconductor Machinery Manufacturing"/>
        <s v="Sawmill, Woodworking, and Paper Machinery Manufacturing"/>
        <s v="Printing Machinery and Equipment Manufacturing"/>
        <s v="Other Industrial Machinery Manufacturing"/>
        <s v="Optical Instrument and Lens Manufacturing"/>
        <s v="Photographic and Photocopying Equipment Manufacturing"/>
        <s v="Other Commercial and Service Industry Machinery Manufacturing"/>
        <s v="Industrial and Commercial Fan and Blower and Air Purification Equipment Manufacturing"/>
        <s v="Heating Equipment (except Warm Air Furnaces) Manufacturing"/>
        <s v="Air-Conditioning and Warm Air Heating Equipment and Commercial and Industrial Refrigeration Equipment Manufacturing"/>
        <s v="Industrial Mold Manufacturing"/>
        <s v="Special Die and Tool, Die Set, Jig, and Fixture Manufacturing"/>
        <s v="Cutting Tool and Machine Tool Accessory Manufacturing"/>
        <s v="Machine Tool Manufacturing"/>
        <s v="Rolling Mill and Other Metalworking Machinery Manufacturing"/>
        <s v="Turbine and Turbine Generator Set Units Manufacturing"/>
        <s v="Speed Changer, Industrial High-Speed Drive, and Gear Manufacturing"/>
        <s v="Mechanical Power Transmission Equipment Manufacturing"/>
        <s v="Other Engine Equipment Manufacturing"/>
        <s v="Air and Gas Compressor Manufacturing"/>
        <s v="Measuring, Dispensing, and Other Pumping Equipment Manufacturing"/>
        <s v="Elevator and Moving Stairway Manufacturing"/>
        <s v="Conveyor and Conveying Equipment Manufacturing"/>
        <s v="Overhead Traveling Crane, Hoist, and Monorail System Manufacturing"/>
        <s v="Industrial Truck, Tractor, Trailer, and Stacker Machinery Manufacturing"/>
        <s v="Power-Driven Handtool Manufacturing"/>
        <s v="Welding and Soldering Equipment Manufacturing"/>
        <s v="Packaging Machinery Manufacturing"/>
        <s v="Industrial Process Furnace and Oven Manufacturing"/>
        <s v="Fluid Power Cylinder and Actuator Manufacturing"/>
        <s v="Fluid Power Pump and Motor Manufacturing"/>
        <s v="Scale and Balance Manufacturing"/>
        <s v="All Other Miscellaneous General Purpose Machinery Manufacturing"/>
        <s v="Electronic Computer Manufacturing"/>
        <s v="Computer Storage Device Manufacturing"/>
        <s v="Computer Terminal and Other Computer Peripheral Equipment Manufacturing"/>
        <s v="Telephone Apparatus Manufacturing"/>
        <s v="Radio and Television Broadcasting and Wireless Communications Equipment Manufacturing"/>
        <s v="Other Communications Equipment Manufacturing"/>
        <s v="Audio and Video Equipment Manufacturing"/>
        <s v="Bare Printed Circuit Board Manufacturing"/>
        <s v="Semiconductor and Related Device Manufacturing"/>
        <s v="Capacitor, Resistor, Coil, Transformer, and Other Inductor Manufacturing"/>
        <s v="Electronic Connector Manufacturing"/>
        <s v="Printed Circuit Assembly (Electronic Assembly) Manufacturing"/>
        <s v="Other Electronic Component Manufacturing"/>
        <s v="Electromedical and Electrotherapeutic Apparatus Manufacturing"/>
        <s v="Search, Detection, Navigation, Guidance, Aeronautical, and Nautical System and Instrument Manufacturing"/>
        <s v="Automatic Environmental Control Manufacturing for Residential, Commercial, and Appliance Use"/>
        <s v="Instruments and Related Products Manufacturing for Measuring, Displaying, and Controlling Industrial Process Variables"/>
        <s v="Totalizing Fluid Meter and Counting Device Manufacturing"/>
        <s v="Instrument Manufacturing for Measuring and Testing Electricity and Electrical Signals"/>
        <s v="Analytical Laboratory Instrument Manufacturing"/>
        <s v="Irradiation Apparatus Manufacturing"/>
        <s v="Other Measuring and Controlling Device Manufacturing"/>
        <s v="Blank Magnetic and Optical Recording Media Manufacturing"/>
        <s v="Software and Other Prerecorded Compact Disc, Tape, and Record Reproducing"/>
        <s v="Electric Lamp Bulb and Part Manufacturing"/>
        <s v="Residential Electric Lighting Fixture Manufacturing"/>
        <s v="Commercial, Industrial, and Institutional Electric Lighting Fixture Manufacturing"/>
        <s v="Other Lighting Equipment Manufacturing"/>
        <s v="Small Electrical Appliance Manufacturing"/>
        <s v="Major Household Appliance Manufacturing"/>
        <s v="Power, Distribution, and Specialty Transformer Manufacturing"/>
        <s v="Motor and Generator Manufacturing"/>
        <s v="Switchgear and Switchboard Apparatus Manufacturing"/>
        <s v="Relay and Industrial Control Manufacturing"/>
        <s v="Storage Battery Manufacturing"/>
        <s v="Primary Battery Manufacturing"/>
        <s v="Fiber Optic Cable Manufacturing"/>
        <s v="Other Communication and Energy Wire Manufacturing"/>
        <s v="Current-Carrying Wiring Device Manufacturing"/>
        <s v="Noncurrent-Carrying Wiring Device Manufacturing"/>
        <s v="Carbon and Graphite Product Manufacturing"/>
        <s v="All Other Miscellaneous Electrical Equipment and Component Manufacturing"/>
        <s v="Automobile Manufacturing"/>
        <s v="Light Truck and Utility Vehicle Manufacturing"/>
        <s v="Heavy Duty Truck Manufacturing"/>
        <s v="Motor Vehicle Body Manufacturing"/>
        <s v="Truck Trailer Manufacturing"/>
        <s v="Motor Home Manufacturing"/>
        <s v="Travel Trailer and Camper Manufacturing"/>
        <s v="Motor Vehicle Gasoline Engine and Engine Parts Manufacturing"/>
        <s v="Motor Vehicle Electrical and Electronic Equipment Manufacturing"/>
        <s v="Motor Vehicle Steering and Suspension Components (except Spring) Manufacturing"/>
        <s v="Motor Vehicle Brake System Manufacturing"/>
        <s v="Motor Vehicle Transmission and Power Train Parts Manufacturing"/>
        <s v="Motor Vehicle Seating and Interior Trim Manufacturing"/>
        <s v="Motor Vehicle Metal Stamping"/>
        <s v="Other Motor Vehicle Parts Manufacturing"/>
        <s v="Aircraft Manufacturing"/>
        <s v="Aircraft Engine and Engine Parts Manufacturing"/>
        <s v="Other Aircraft Parts and Auxiliary Equipment Manufacturing"/>
        <s v="Guided Missile and Space Vehicle Manufacturing"/>
        <s v="Guided Missile and Space Vehicle Propulsion Unit and Propulsion Unit Parts Manufacturing"/>
        <s v="Other Guided Missile and Space Vehicle Parts and Auxiliary Equipment Manufacturing"/>
        <s v="Railroad Rolling Stock Manufacturing"/>
        <s v="Ship Building and Repairing"/>
        <s v="Boat Building"/>
        <s v="Motorcycle, Bicycle, and Parts Manufacturing"/>
        <s v="Military Armored Vehicle, Tank, and Tank Component Manufacturing"/>
        <s v="All Other Transportation Equipment Manufacturing"/>
        <s v="Wood Kitchen Cabinet and Countertop Manufacturing"/>
        <s v="Upholstered Household Furniture Manufacturing"/>
        <s v="Nonupholstered Wood Household Furniture Manufacturing"/>
        <s v="Metal Household Furniture Manufacturing"/>
        <s v="Household Furniture (except Wood and Metal) Manufacturing"/>
        <s v="Institutional Furniture Manufacturing"/>
        <s v="Wood Office Furniture Manufacturing"/>
        <s v="Custom Architectural Woodwork and Millwork Manufacturing"/>
        <s v="Office Furniture (except Wood) Manufacturing"/>
        <s v="Showcase, Partition, Shelving, and Locker Manufacturing"/>
        <s v="Mattress Manufacturing"/>
        <s v="Blind and Shade Manufacturing"/>
        <s v="Surgical and Medical Instrument Manufacturing"/>
        <s v="Surgical Appliance and Supplies Manufacturing"/>
        <s v="Dental Equipment and Supplies Manufacturing"/>
        <s v="Ophthalmic Goods Manufacturing"/>
        <s v="Dental Laboratories"/>
        <s v="Jewelry and Silverware Manufacturing"/>
        <s v="Sporting and Athletic Goods Manufacturing"/>
        <s v="Doll, Toy, and Game Manufacturing"/>
        <s v="Office Supplies (except Paper) Manufacturing"/>
        <s v="Sign Manufacturing"/>
        <s v="Gasket, Packing, and Sealing Device Manufacturing"/>
        <s v="Musical Instrument Manufacturing"/>
        <s v="Fastener, Button, Needle, and Pin Manufacturing"/>
        <s v="Broom, Brush, and Mop Manufacturing"/>
        <s v="Burial Casket Manufacturing"/>
        <s v="All Other Miscellaneous Manufacturing"/>
        <s v="Automobile and Other Motor Vehicle Merchant Wholesalers"/>
        <s v="Motor Vehicle Supplies and New Parts Merchant Wholesalers"/>
        <s v="Tire and Tube Merchant Wholesalers"/>
        <s v="Motor Vehicle Parts (Used) Merchant Wholesalers"/>
        <s v="Furniture Merchant Wholesalers"/>
        <s v="Home Furnishing Merchant Wholesalers"/>
        <s v="Lumber, Plywood, Millwork, and Wood Panel Merchant Wholesalers"/>
        <s v="Brick, Stone, and Related Construction Material Merchant Wholesalers"/>
        <s v="Roofing, Siding, and Insulation Material Merchant Wholesalers"/>
        <s v="Other Construction Material Merchant Wholesalers"/>
        <s v="Photographic Equipment and Supplies Merchant Wholesalers"/>
        <s v="Office Equipment Merchant Wholesalers"/>
        <s v="Computer and Computer Peripheral Equipment and Software Merchant Wholesalers"/>
        <s v="Other Commercial Equipment Merchant Wholesalers"/>
        <s v="Medical, Dental, and Hospital Equipment and Supplies Merchant Wholesalers"/>
        <s v="Ophthalmic Goods Merchant Wholesalers"/>
        <s v="Other Professional Equipment and Supplies Merchant Wholesalers"/>
        <s v="Metal Service Centers and Other Metal Merchant Wholesalers"/>
        <s v="Coal and Other Mineral and Ore Merchant Wholesalers"/>
        <s v="Electrical Apparatus and Equipment, Wiring Supplies, and Related Equipment Merchant Wholesalers"/>
        <s v="Household Appliances, Electric Housewares, and Consumer Electronics Merchant Wholesalers"/>
        <s v="Other Electronic Parts and Equipment Merchant Wholesalers"/>
        <s v="Hardware Merchant Wholesalers"/>
        <s v="Plumbing and Heating Equipment and Supplies (Hydronics) Merchant Wholesalers"/>
        <s v="Warm Air Heating and Air-Conditioning Equipment and Supplies Merchant Wholesalers"/>
        <s v="Refrigeration Equipment and Supplies Merchant Wholesalers"/>
        <s v="Construction and Mining (except Oil Well) Machinery and Equipment Merchant Wholesalers"/>
        <s v="Farm and Garden Machinery and Equipment Merchant Wholesalers"/>
        <s v="Industrial Machinery and Equipment Merchant Wholesalers"/>
        <s v="Industrial Supplies Merchant Wholesalers"/>
        <s v="Service Establishment Equipment and Supplies Merchant Wholesalers"/>
        <s v="Transportation Equipment and Supplies (except Motor Vehicle) Merchant Wholesalers"/>
        <s v="Sporting and Recreational Goods and Supplies Merchant Wholesalers"/>
        <s v="Toy and Hobby Goods and Supplies Merchant Wholesalers"/>
        <s v="Recyclable Material Merchant Wholesalers"/>
        <s v="Jewelry, Watch, Precious Stone, and Precious Metal Merchant Wholesalers"/>
        <s v="Other Miscellaneous Durable Goods Merchant Wholesalers"/>
        <s v="Printing and Writing Paper Merchant Wholesalers"/>
        <s v="Stationery and Office Supplies Merchant Wholesalers"/>
        <s v="Industrial and Personal Service Paper Merchant Wholesalers"/>
        <s v="Drugs and Druggists' Sundries Merchant Wholesalers"/>
        <s v="Piece Goods, Notions, and Other Dry Goods Merchant Wholesalers"/>
        <s v="Men's and Boys' Clothing and Furnishings Merchant Wholesalers"/>
        <s v="Women's, Children's, and Infants' Clothing and Accessories Merchant Wholesalers"/>
        <s v="Footwear Merchant Wholesalers"/>
        <s v="General Line Grocery Merchant Wholesalers"/>
        <s v="Packaged Frozen Food Merchant Wholesalers"/>
        <s v="Dairy Product (except Dried or Canned) Merchant Wholesalers"/>
        <s v="Poultry and Poultry Product Merchant Wholesalers"/>
        <s v="Confectionery Merchant Wholesalers"/>
        <s v="Fish and Seafood Merchant Wholesalers"/>
        <s v="Meat and Meat Product Merchant Wholesalers"/>
        <s v="Fresh Fruit and Vegetable Merchant Wholesalers"/>
        <s v="Other Grocery and Related Products Merchant Wholesalers"/>
        <s v="Grain and Field Bean Merchant Wholesalers"/>
        <s v="Livestock Merchant Wholesalers"/>
        <s v="Other Farm Product Raw Material Merchant Wholesalers"/>
        <s v="Plastics Materials and Basic Forms and Shapes Merchant Wholesalers"/>
        <s v="Other Chemical and Allied Products Merchant Wholesalers"/>
        <s v="Petroleum Bulk Stations and Terminals"/>
        <s v="Petroleum and Petroleum Products Merchant Wholesalers (except Bulk Stations and Terminals)"/>
        <s v="Beer and Ale Merchant Wholesalers"/>
        <s v="Wine and Distilled Alcoholic Beverage Merchant Wholesalers"/>
        <s v="Farm Supplies Merchant Wholesalers"/>
        <s v="Book, Periodical, and Newspaper Merchant Wholesalers"/>
        <s v="Flower, Nursery Stock, and Florists' Supplies Merchant Wholesalers"/>
        <s v="Tobacco and Tobacco Product Merchant Wholesalers"/>
        <s v="Paint, Varnish, and Supplies Merchant Wholesalers"/>
        <s v="Other Miscellaneous Nondurable Goods Merchant Wholesalers"/>
        <s v="Business to Business Electronic Markets"/>
        <s v="Wholesale Trade Agents and Brokers"/>
        <s v="New Car Dealers"/>
        <s v="Used Car Dealers"/>
        <s v="Recreational Vehicle Dealers"/>
        <s v="Boat Dealers"/>
        <s v="Motorcycle, ATV, and All Other Motor Vehicle Dealers"/>
        <s v="Automotive Parts and Accessories Stores"/>
        <s v="Tire Dealers"/>
        <s v="Furniture Stores"/>
        <s v="Floor Covering Stores"/>
        <s v="Window Treatment Stores"/>
        <s v="All Other Home Furnishings Stores"/>
        <s v="Household Appliance Stores"/>
        <s v="Electronics Stores"/>
        <s v="Home Centers"/>
        <s v="Paint and Wallpaper Stores"/>
        <s v="Hardware Stores"/>
        <s v="Other Building Material Dealers"/>
        <s v="Outdoor Power Equipment Stores"/>
        <s v="Nursery, Garden Center, and Farm Supply Stores"/>
        <s v="Supermarkets and Other Grocery (except Convenience) Stores"/>
        <s v="Convenience Stores"/>
        <s v="Meat Markets"/>
        <s v="Fish and Seafood Markets"/>
        <s v="Fruit and Vegetable Markets"/>
        <s v="Baked Goods Stores"/>
        <s v="Confectionery and Nut Stores"/>
        <s v="All Other Specialty Food Stores"/>
        <s v="Beer, Wine, and Liquor Stores"/>
        <s v="Pharmacies and Drug Stores"/>
        <s v="Cosmetics, Beauty Supplies, and Perfume Stores"/>
        <s v="Optical Goods Stores"/>
        <s v="Food (Health) Supplement Stores"/>
        <s v="All Other Health and Personal Care Stores"/>
        <s v="Gasoline Stations with Convenience Stores"/>
        <s v="Other Gasoline Stations"/>
        <s v="Men's Clothing Stores"/>
        <s v="Women's Clothing Stores"/>
        <s v="Children's and Infants' Clothing Stores"/>
        <s v="Family Clothing Stores"/>
        <s v="Clothing Accessories Stores"/>
        <s v="Other Clothing Stores"/>
        <s v="Shoe Stores"/>
        <s v="Jewelry Stores"/>
        <s v="Luggage and Leather Goods Stores"/>
        <s v="Sporting Goods Stores"/>
        <s v="Hobby, Toy, and Game Stores"/>
        <s v="Sewing, Needlework, and Piece Goods Stores"/>
        <s v="Musical Instrument and Supplies Stores"/>
        <s v="Book Stores"/>
        <s v="News Dealers and Newsstands"/>
        <s v="Department Stores"/>
        <s v="Warehouse Clubs and Supercenters"/>
        <s v="All Other General Merchandise Stores"/>
        <s v="Florists"/>
        <s v="Office Supplies and Stationery Stores"/>
        <s v="Gift, Novelty, and Souvenir Stores"/>
        <s v="Used Merchandise Stores"/>
        <s v="Pet and Pet Supplies Stores"/>
        <s v="Art Dealers"/>
        <s v="Manufactured (Mobile) Home Dealers"/>
        <s v="Tobacco Stores"/>
        <s v="All Other Miscellaneous Store Retailers (except Tobacco Stores)"/>
        <s v="Electronic Shopping and Mail-Order Houses"/>
        <s v="Vending Machine Operators"/>
        <s v="Fuel Dealers"/>
        <s v="Other Direct Selling Establishments"/>
        <s v="Scheduled Passenger Air Transportation"/>
        <s v="Scheduled Freight Air Transportation"/>
        <s v="Nonscheduled Chartered Passenger Air Transportation"/>
        <s v="Nonscheduled Chartered Freight Air Transportation"/>
        <s v="Other Nonscheduled Air Transportation"/>
        <s v="Line-Haul Railroads"/>
        <s v="Short Line Railroads"/>
        <s v="Deep Sea Freight Transportation"/>
        <s v="Deep Sea Passenger Transportation"/>
        <s v="Coastal and Great Lakes Freight Transportation"/>
        <s v="Coastal and Great Lakes Passenger Transportation"/>
        <s v="Inland Water Freight Transportation"/>
        <s v="Inland Water Passenger Transportation"/>
        <s v="General Freight Trucking, Local"/>
        <s v="General Freight Trucking, Long-Distance, Truckload"/>
        <s v="General Freight Trucking, Long-Distance, Less Than Truckload"/>
        <s v="Used Household and Office Goods Moving"/>
        <s v="Specialized Freight (except Used Goods) Trucking, Local"/>
        <s v="Specialized Freight (except Used Goods) Trucking, Long-Distance"/>
        <s v="Mixed Mode Transit Systems"/>
        <s v="Commuter Rail Systems"/>
        <s v="Bus and Other Motor Vehicle Transit Systems"/>
        <s v="Other Urban Transit Systems"/>
        <s v="Interurban and Rural Bus Transportation"/>
        <s v="Taxi Service"/>
        <s v="Limousine Service"/>
        <s v="School and Employee Bus Transportation"/>
        <s v="Charter Bus Industry"/>
        <s v="Special Needs Transportation"/>
        <s v="All Other Transit and Ground Passenger Transportation"/>
        <s v="Pipeline Transportation of Crude Oil"/>
        <s v="Pipeline Transportation of Natural Gas"/>
        <s v="Pipeline Transportation of Refined Petroleum Products"/>
        <s v="All Other Pipeline Transportation"/>
        <s v="Scenic and Sightseeing Transportation, Land"/>
        <s v="Scenic and Sightseeing Transportation, Water"/>
        <s v="Scenic and Sightseeing Transportation, Other"/>
        <s v="Air Traffic Control"/>
        <s v="Other Airport Operations"/>
        <s v="Other Support Activities for Air Transportation"/>
        <s v="Support Activities for Rail Transportation"/>
        <s v="Port and Harbor Operations"/>
        <s v="Marine Cargo Handling"/>
        <s v="Navigational Services to Shipping"/>
        <s v="Other Support Activities for Water Transportation"/>
        <s v="Motor Vehicle Towing"/>
        <s v="Other Support Activities for Road Transportation"/>
        <s v="Freight Transportation Arrangement"/>
        <s v="Packing and Crating"/>
        <s v="All Other Support Activities for Transportation"/>
        <s v="Postal Service"/>
        <s v="Couriers and Express Delivery Services"/>
        <s v="Local Messengers and Local Delivery"/>
        <s v="General Warehousing and Storage"/>
        <s v="Refrigerated Warehousing and Storage"/>
        <s v="Farm Product Warehousing and Storage"/>
        <s v="Other Warehousing and Storage"/>
        <s v="Newspaper Publishers"/>
        <s v="Periodical Publishers"/>
        <s v="Book Publishers"/>
        <s v="Directory and Mailing List Publishers"/>
        <s v="Greeting Card Publishers"/>
        <s v="All Other Publishers"/>
        <s v="Software Publishers"/>
        <s v="Motion Picture and Video Production"/>
        <s v="Motion Picture and Video Distribution"/>
        <s v="Motion Picture Theaters (except Drive-Ins)"/>
        <s v="Drive-In Motion Picture Theaters"/>
        <s v="Teleproduction and Other Postproduction Services"/>
        <s v="Other Motion Picture and Video Industries"/>
        <s v="Music Publishers"/>
        <s v="Sound Recording Studios"/>
        <s v="Record Production and Distribution"/>
        <s v="Other Sound Recording Industries"/>
        <s v="Radio Networks"/>
        <s v="Radio Stations"/>
        <s v="Television Broadcasting"/>
        <s v="Cable and Other Subscription Programming"/>
        <s v="Wired Telecommunications Carriers"/>
        <s v="Wireless Telecommunications Carriers (except Satellite)"/>
        <s v="Satellite Telecommunications"/>
        <s v="Telecommunications Resellers"/>
        <s v="All Other Telecommunications"/>
        <s v="Data Processing, Hosting, and Related Services"/>
        <s v="News Syndicates"/>
        <s v="Libraries and Archives"/>
        <s v="Internet Publishing and Broadcasting and Web Search Portals"/>
        <s v="All Other Information Services"/>
        <s v="Monetary Authorities-Central Bank"/>
        <s v="Commercial Banking"/>
        <s v="Savings Institutions"/>
        <s v="Credit Unions"/>
        <s v="Other Depository Credit Intermediation"/>
        <s v="Credit Card Issuing"/>
        <s v="Sales Financing"/>
        <s v="Consumer Lending"/>
        <s v="Real Estate Credit"/>
        <s v="International Trade Financing"/>
        <s v="Secondary Market Financing"/>
        <s v="All Other Nondepository Credit Intermediation"/>
        <s v="Mortgage and Nonmortgage Loan Brokers"/>
        <s v="Financial Transactions Processing, Reserve, and Clearinghouse Activities"/>
        <s v="Other Activities Related to Credit Intermediation"/>
        <s v="Investment Banking and Securities Dealing"/>
        <s v="Securities Brokerage"/>
        <s v="Commodity Contracts Dealing"/>
        <s v="Commodity Contracts Brokerage"/>
        <s v="Securities and Commodity Exchanges"/>
        <s v="Miscellaneous Intermediation"/>
        <s v="Portfolio Management"/>
        <s v="Investment Advice"/>
        <s v="Trust, Fiduciary, and Custody Activities"/>
        <s v="Miscellaneous Financial Investment Activities"/>
        <s v="Direct Life Insurance Carriers"/>
        <s v="Direct Health and Medical Insurance Carriers"/>
        <s v="Direct Property and Casualty Insurance Carriers"/>
        <s v="Direct Title Insurance Carriers"/>
        <s v="Other Direct Insurance (except Life, Health, and Medical) Carriers"/>
        <s v="Reinsurance Carriers"/>
        <s v="Insurance Agencies and Brokerages"/>
        <s v="Claims Adjusting"/>
        <s v="Third Party Administration of Insurance and Pension Funds"/>
        <s v="All Other Insurance Related Activities"/>
        <s v="Pension Funds"/>
        <s v="Health and Welfare Funds"/>
        <s v="Other Insurance Funds"/>
        <s v="Open-End Investment Funds"/>
        <s v="Trusts, Estates, and Agency Accounts"/>
        <s v="Other Financial Vehicles"/>
        <s v="Lessors of Residential Buildings and Dwellings"/>
        <s v="Lessors of Nonresidential Buildings (excpet Miniwarehouses)"/>
        <s v="Lessors of Miniwarehouses and Self-Storage Units"/>
        <s v="Lessors of Other Real Estate Property"/>
        <s v="Offices of Real Estate Agents and Brokers"/>
        <s v="Residential Property Managers"/>
        <s v="Nonresidential Property Managers"/>
        <s v="Offices of Real Estate Appraisers"/>
        <s v="Other Activities Related to Real Estate"/>
        <s v="Passenger Car Rental"/>
        <s v="Passenger Car Leasing"/>
        <s v="Truck, Utility Trailer, and RV (Recreational Vehicle) Rental and Leasing"/>
        <s v="Consumer Electronics and Appliances Rental"/>
        <s v="Formal Wear and Costume Rental"/>
        <s v="Video Tape and Disc Rental"/>
        <s v="Home Health Equipment Rental"/>
        <s v="Recreational Goods Rental"/>
        <s v="All Other Consumer Goods Rental"/>
        <s v="General Rental Centers"/>
        <s v="Commercial Air, Rail, and Water Transportation Equipment Rental and Leasing"/>
        <s v="Construction, Mining, and Forestry Machinery and Equipment Rental and Leasing"/>
        <s v="Office Machinery and Equipment Rental and Leasing"/>
        <s v="Other Commercial and Industrial Machinery and Equipment Rental and Leasing"/>
        <s v="Lessors of Nonfinancial Intangible Assets (except Copyrighted Works)"/>
        <s v="Offices of Lawyers"/>
        <s v="Offices of Notaries"/>
        <s v="Title Abstract and Settlement Offices"/>
        <s v="All Other Legal Services"/>
        <s v="Offices of Certified Public Accountants"/>
        <s v="Tax Preparation Services"/>
        <s v="Payroll Services"/>
        <s v="Other Accounting Services"/>
        <s v="Architectural Services"/>
        <s v="Landscape Architectural Services"/>
        <s v="Engineering Services"/>
        <s v="Drafting Services"/>
        <s v="Building Inspection Services"/>
        <s v="Geophysical Surveying and Mapping Services"/>
        <s v="Surveying and Mapping (except Geophysical) Services"/>
        <s v="Testing Laboratories"/>
        <s v="Interior Design Services"/>
        <s v="Industrial Design Services"/>
        <s v="Graphic Design Services"/>
        <s v="Other Specialized Design Services"/>
        <s v="Custom Computer Programming Services"/>
        <s v="Computer Systems Design Services"/>
        <s v="Computer Facilities Management Services"/>
        <s v="Other Computer Related Services"/>
        <s v="Administrative Management and General Management Consulting Services"/>
        <s v="Human Resources Consulting Services"/>
        <s v="Marketing Consulting Services"/>
        <s v="Process, Physical Distribution, and Logistics Consulting Services"/>
        <s v="Other Management Consulting Services"/>
        <s v="Environmental Consulting Services"/>
        <s v="Other Scientific and Technical Consulting Services"/>
        <s v="Research and Development in Nanotechnology"/>
        <s v="Research and Development in Biotechnology (except Nanobiotechnology)"/>
        <s v="Research and Development in the Physical, Engineering, and Life Sciences (except Nanotechnology and Biotechnology)"/>
        <s v="Research and Development in the Social Sciences and Humanities"/>
        <s v="Advertising Agencies"/>
        <s v="Public Relations Agencies"/>
        <s v="Media Buying Agencies"/>
        <s v="Media Representatives"/>
        <s v="Outdoor Advertising"/>
        <s v="Direct Mail Advertising"/>
        <s v="Advertising Material Distribution Services"/>
        <s v="Other Services Related to Advertising"/>
        <s v="Marketing Research and Public Opinion Polling"/>
        <s v="Photography Studios, Portrait"/>
        <s v="Commercial Photography"/>
        <s v="Translation and Interpretation Services"/>
        <s v="Veterinary Services"/>
        <s v="All Other Professional, Scientific, and Technical Services"/>
        <s v="Offices of Bank Holding Companies"/>
        <s v="Offices of Other Holding Companies"/>
        <s v="Corporate, Subsidiary, and Regional Managing Offices"/>
        <s v="Office Administrative Services"/>
        <s v="Facilities Support Services"/>
        <s v="Employment Placement Agencies"/>
        <s v="Executive Search Services"/>
        <s v="Temporary Help Services"/>
        <s v="Professional Employer Organizations"/>
        <s v="Document Preparation Services"/>
        <s v="Telephone Answering Services"/>
        <s v="Telemarketing Bureaus and Other Contact Centers"/>
        <s v="Private Mail Centers"/>
        <s v="Other Business Service Centers (including Copy Shops)"/>
        <s v="Collection Agencies"/>
        <s v="Credit Bureaus"/>
        <s v="Repossession Services"/>
        <s v="Court Reporting and Stenotype Services"/>
        <s v="All Other Business Support Services"/>
        <s v="Travel Agencies"/>
        <s v="Tour Operators"/>
        <s v="Convention and Visitors Bureaus"/>
        <s v="All Other Travel Arrangement and Reservation Services"/>
        <s v="Investigation Services"/>
        <s v="Security Guards and Patrol Services"/>
        <s v="Armored Car Services"/>
        <s v="Security Systems Services (except Locksmiths)"/>
        <s v="Locksmiths"/>
        <s v="Exterminating and Pest Control Services"/>
        <s v="Janitorial Services"/>
        <s v="Landscaping Services"/>
        <s v="Carpet and Upholstery Cleaning Services"/>
        <s v="Other Services to Buildings and Dwellings"/>
        <s v="Packaging and Labeling Services"/>
        <s v="Convention and Trade Show Organizers"/>
        <s v="All Other Support Services"/>
        <s v="Solid Waste Collection"/>
        <s v="Hazardous Waste Collection"/>
        <s v="Other Waste Collection"/>
        <s v="Hazardous Waste Treatment and Disposal"/>
        <s v="Solid Waste Landfill"/>
        <s v="Solid Waste Combustors and Incinerators"/>
        <s v="Other Nonhazardous Waste Treatment and Disposal"/>
        <s v="Remediation Services"/>
        <s v="Materials Recovery Facilities"/>
        <s v="Septic Tank and Related Services"/>
        <s v="All Other Miscellaneous Waste Management Services"/>
        <s v="Elementary and Secondary Schools"/>
        <s v="Junior Colleges"/>
        <s v="Colleges, Universities, and Professional Schools"/>
        <s v="Business and Secretarial Schools"/>
        <s v="Computer Training"/>
        <s v="Professional and Management Development Training"/>
        <s v="Cosmetology and Barber Schools"/>
        <s v="Flight Training"/>
        <s v="Apprenticeship Training"/>
        <s v="Other Technical and Trade Schools"/>
        <s v="Fine Arts Schools"/>
        <s v="Sports and Recreation Instruction"/>
        <s v="Language Schools"/>
        <s v="Exam Preparation and Tutoring"/>
        <s v="Automobile Driving Schools"/>
        <s v="All Other Miscellaneous Schools and Instruction"/>
        <s v="Educational Support Services"/>
        <s v="Offices of Physicians (except Mental Health Specialists)"/>
        <s v="Offices of Physicians, Mental Health Specialists"/>
        <s v="Offices of Dentists"/>
        <s v="Offices of Chiropractors"/>
        <s v="Offices of Optometrists"/>
        <s v="Offices of Mental Health Practitioners (except Physicians)"/>
        <s v="Offices of Physical, Occupational and Speech Therapists, and Audiologists"/>
        <s v="Offices of Podiatrists"/>
        <s v="Offices of All Other Miscellaneous Health Practitioners"/>
        <s v="Family Planning Centers"/>
        <s v="Outpatient Mental Health and Substance Abuse Centers"/>
        <s v="HMO Medical Centers"/>
        <s v="Kidney Dialysis Centers"/>
        <s v="Freestanding Ambulatory Surgical and Emergency Centers"/>
        <s v="All Other Outpatient Care Centers"/>
        <s v="Medical Laboratories"/>
        <s v="Diagnostic Imaging Centers"/>
        <s v="Home Health Care Services"/>
        <s v="Ambulance Services"/>
        <s v="Blood and Organ Banks"/>
        <s v="All Other Miscellaneous Ambulatory Health Care Services"/>
        <s v="General Medical and Surgical Hospitals"/>
        <s v="Psychiatric and Substance Abuse Hospitals"/>
        <s v="Specialty (except Psychiatric and Substance Abuse) Hospitals"/>
        <s v="Nursing Care Facilities (Skilled Nursing Facilities)"/>
        <s v="Residential Intellectual and Developmental Disability Facilities"/>
        <s v="Residential Mental Health and Substance Abuse Facilities"/>
        <s v="Continuing Care Retirement Communities"/>
        <s v="Assisted Living Facilities for the Elderly"/>
        <s v="Other Residential Care Facilities"/>
        <s v="Child and Youth Services"/>
        <s v="Services for the Elderly and Persons with Disabilities"/>
        <s v="Other Individual and Family Services"/>
        <s v="Community Food Services"/>
        <s v="Temporary Shelters"/>
        <s v="Other Community Housing Services"/>
        <s v="Emergency and Other Relief Services"/>
        <s v="Vocational Rehabilitation Services"/>
        <s v="Child Day Care Services"/>
        <s v="Theater Companies and Dinner Theaters"/>
        <s v="Dance Companies"/>
        <s v="Musical Groups and Artists"/>
        <s v="Other Performing Arts Companies"/>
        <s v="Sports Teams and Clubs"/>
        <s v="Racetracks"/>
        <s v="Other Spectator Sports"/>
        <s v="Promoters of Performing Arts, Sports, and Similar Events with Facilities"/>
        <s v="Promoters of Performing Arts, Sports, and Similar Events without Facilities"/>
        <s v="Agents and Managers for Artists, Athletes, Entertainers, and Other Public Figures"/>
        <s v="Independent Artists, Writers, and Performers"/>
        <s v="Museums"/>
        <s v="Historical Sites"/>
        <s v="Zoos and Botanical Gardens"/>
        <s v="Nature Parks and Other Similar Institutions"/>
        <s v="Amusement and Theme Parks"/>
        <s v="Amusement Arcades"/>
        <s v="Casinos (except Casino Hotels)"/>
        <s v="Other Gambling Industries"/>
        <s v="Golf Courses and Country Clubs"/>
        <s v="Skiing Facilities"/>
        <s v="Marinas"/>
        <s v="Fitness and Recreational Sports Centers"/>
        <s v="Bowling Centers"/>
        <s v="All Other Amusement and Recreation Industries"/>
        <s v="Hotels (except Casino Hotels) and Motels"/>
        <s v="Casino Hotels"/>
        <s v="Bed-and-Breakfast Inns"/>
        <s v="All Other Traveler Accommodation"/>
        <s v="RV (Recreational Vehicle) Parks and Campgrounds"/>
        <s v="Recreational and Vacation Camps (except Campgrounds)"/>
        <s v="Rooming and Boarding Houses, Dormitories, and Workers' Camps"/>
        <s v="Food Service Contractors"/>
        <s v="Caterers"/>
        <s v="Mobile Food Services"/>
        <s v="Drinking Places (Alcoholic Beverages)"/>
        <s v="Full-Service Restaurants"/>
        <s v="Limited-Service Restaurants"/>
        <s v="Cafeterias, Grill Buffets, and Buffets"/>
        <s v="Snack and Nonalcoholic Beverage Bars"/>
        <s v="General Automotive Repair"/>
        <s v="Automotive Exhaust System Repair"/>
        <s v="Automotive Transmission Repair"/>
        <s v="Other Automotive Mechanical and Electrical Repair and Maintenance"/>
        <s v="Automotive Body, Paint, and Interior Repair and Maintenance"/>
        <s v="Automotive Glass Replacement Shops"/>
        <s v="Automotive Oil Change and Lubrication Shops"/>
        <s v="Car Washes"/>
        <s v="All Other Automotive Repair and Maintenance"/>
        <s v="Consumer Electronics Repair and Maintenance"/>
        <s v="Computer and Office Machine Repair and Maintenance"/>
        <s v="Communication Equipment Repair and Maintenance"/>
        <s v="Other Electronic and Precision Equipment Repair and Maintenance"/>
        <s v="Commercial and Industrial Machinery and Equipment (except Automotive and Electronic) Repair and Maintenance"/>
        <s v="Home and Garden Equipment Repair and Maintenance"/>
        <s v="Appliance Repair and Maintenance"/>
        <s v="Reupholstery and Furniture Repair"/>
        <s v="Footwear and Leather Goods Repair"/>
        <s v="Other Personal and Household Goods Repair and Maintenance"/>
        <s v="Barber Shops"/>
        <s v="Beauty Salons"/>
        <s v="Nail Salons"/>
        <s v="Diet and Weight Reducing Centers"/>
        <s v="Other Personal Care Services"/>
        <s v="Funeral Homes and Funeral Services"/>
        <s v="Cemeteries and Crematories"/>
        <s v="Coin-Operated Laundries and Drycleaners"/>
        <s v="Drycleaning and Laundry Services (except Coin-Operated)"/>
        <s v="Linen Supply"/>
        <s v="Industrial Launderers"/>
        <s v="Pet Care (except Veterinary) Services"/>
        <s v="Photofinishing Laboratories (except One-Hour)"/>
        <s v="One-Hour Photofinishing"/>
        <s v="Parking Lots and Garages"/>
        <s v="All Other Personal Services"/>
        <s v="Religious Organizations"/>
        <s v="Grantmaking Foundations"/>
        <s v="Voluntary Health Organizations"/>
        <s v="Other Grantmaking and Giving Services"/>
        <s v="Human Rights Organizations"/>
        <s v="Environment, Conservation and Wildlife Organizations"/>
        <s v="Other Social Advocacy Organizations"/>
        <s v="Civic and Social Organizations"/>
        <s v="Business Associations"/>
        <s v="Professional Organizations"/>
        <s v="Labor Unions and Similar Labor Organizations"/>
        <s v="Political Organizations"/>
        <s v="Other Similar Organizations (except Business, Professional, Labor, and Political Organizations)"/>
      </sharedItems>
    </cacheField>
    <cacheField name=" without Margins" numFmtId="0">
      <sharedItems containsSemiMixedTypes="0" containsString="0" containsNumber="1" minValue="2.5999999999999999E-2" maxValue="3.8460000000000001"/>
    </cacheField>
    <cacheField name="Margins " numFmtId="0">
      <sharedItems containsSemiMixedTypes="0" containsString="0" containsNumber="1" minValue="0" maxValue="0.125"/>
    </cacheField>
    <cacheField name="With Margins" numFmtId="0">
      <sharedItems containsSemiMixedTypes="0" containsString="0" containsNumber="1" minValue="2.9000000000000001E-2" maxValue="3.9239999999999999"/>
    </cacheField>
    <cacheField name="Emission Difference" numFmtId="0">
      <sharedItems containsSemiMixedTypes="0" containsString="0" containsNumber="1" minValue="0" maxValue="0.125"/>
    </cacheField>
    <cacheField name="Emission Category " numFmtId="0">
      <sharedItems count="2">
        <s v="High"/>
        <s v="Low"/>
      </sharedItems>
    </cacheField>
    <cacheField name="Margin Contribution " numFmtId="164">
      <sharedItems containsSemiMixedTypes="0" containsString="0" containsNumber="1" minValue="0" maxValue="0.566666666666666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6">
  <r>
    <n v="111110"/>
    <s v="1111A0"/>
    <x v="0"/>
    <n v="0.48799999999999999"/>
    <n v="4.3999999999999997E-2"/>
    <n v="0.53200000000000003"/>
    <n v="4.4000000000000039E-2"/>
    <x v="0"/>
    <n v="8.2706766917293228E-2"/>
  </r>
  <r>
    <n v="111120"/>
    <s v="1111A0"/>
    <x v="1"/>
    <n v="0.48799999999999999"/>
    <n v="4.3999999999999997E-2"/>
    <n v="0.53200000000000003"/>
    <n v="4.4000000000000039E-2"/>
    <x v="0"/>
    <n v="8.2706766917293228E-2"/>
  </r>
  <r>
    <n v="111130"/>
    <s v="1111B0"/>
    <x v="2"/>
    <n v="0.80900000000000005"/>
    <n v="0.04"/>
    <n v="0.84799999999999998"/>
    <n v="3.8999999999999924E-2"/>
    <x v="0"/>
    <n v="4.716981132075472E-2"/>
  </r>
  <r>
    <n v="111140"/>
    <s v="1111B0"/>
    <x v="3"/>
    <n v="0.80900000000000005"/>
    <n v="0.04"/>
    <n v="0.84799999999999998"/>
    <n v="3.8999999999999924E-2"/>
    <x v="0"/>
    <n v="4.716981132075472E-2"/>
  </r>
  <r>
    <n v="111150"/>
    <s v="1111B0"/>
    <x v="4"/>
    <n v="0.80900000000000005"/>
    <n v="0.04"/>
    <n v="0.84799999999999998"/>
    <n v="3.8999999999999924E-2"/>
    <x v="0"/>
    <n v="4.716981132075472E-2"/>
  </r>
  <r>
    <n v="111160"/>
    <s v="1111B0"/>
    <x v="5"/>
    <n v="0.80900000000000005"/>
    <n v="0.04"/>
    <n v="0.84799999999999998"/>
    <n v="3.8999999999999924E-2"/>
    <x v="0"/>
    <n v="4.716981132075472E-2"/>
  </r>
  <r>
    <n v="111191"/>
    <s v="1111B0"/>
    <x v="6"/>
    <n v="0.80900000000000005"/>
    <n v="0.04"/>
    <n v="0.84799999999999998"/>
    <n v="3.8999999999999924E-2"/>
    <x v="0"/>
    <n v="4.716981132075472E-2"/>
  </r>
  <r>
    <n v="111199"/>
    <s v="1111B0"/>
    <x v="7"/>
    <n v="0.80900000000000005"/>
    <n v="0.04"/>
    <n v="0.84799999999999998"/>
    <n v="3.8999999999999924E-2"/>
    <x v="0"/>
    <n v="4.716981132075472E-2"/>
  </r>
  <r>
    <n v="111211"/>
    <n v="111200"/>
    <x v="8"/>
    <n v="0.59099999999999997"/>
    <n v="4.1000000000000002E-2"/>
    <n v="0.63100000000000001"/>
    <n v="4.0000000000000036E-2"/>
    <x v="0"/>
    <n v="6.4976228209191758E-2"/>
  </r>
  <r>
    <n v="111219"/>
    <n v="111200"/>
    <x v="9"/>
    <n v="0.59099999999999997"/>
    <n v="4.1000000000000002E-2"/>
    <n v="0.63100000000000001"/>
    <n v="4.0000000000000036E-2"/>
    <x v="0"/>
    <n v="6.4976228209191758E-2"/>
  </r>
  <r>
    <n v="111310"/>
    <n v="111300"/>
    <x v="10"/>
    <n v="0.42899999999999999"/>
    <n v="5.8999999999999997E-2"/>
    <n v="0.48799999999999999"/>
    <n v="5.8999999999999997E-2"/>
    <x v="0"/>
    <n v="0.12090163934426229"/>
  </r>
  <r>
    <n v="111320"/>
    <n v="111300"/>
    <x v="11"/>
    <n v="0.42899999999999999"/>
    <n v="5.8999999999999997E-2"/>
    <n v="0.48799999999999999"/>
    <n v="5.8999999999999997E-2"/>
    <x v="1"/>
    <n v="0.12090163934426229"/>
  </r>
  <r>
    <n v="111331"/>
    <n v="111300"/>
    <x v="12"/>
    <n v="0.42899999999999999"/>
    <n v="5.8999999999999997E-2"/>
    <n v="0.48799999999999999"/>
    <n v="5.8999999999999997E-2"/>
    <x v="1"/>
    <n v="0.12090163934426229"/>
  </r>
  <r>
    <n v="111332"/>
    <n v="111300"/>
    <x v="13"/>
    <n v="0.42899999999999999"/>
    <n v="5.8999999999999997E-2"/>
    <n v="0.48799999999999999"/>
    <n v="5.8999999999999997E-2"/>
    <x v="1"/>
    <n v="0.12090163934426229"/>
  </r>
  <r>
    <n v="111333"/>
    <n v="111300"/>
    <x v="14"/>
    <n v="0.42899999999999999"/>
    <n v="5.8999999999999997E-2"/>
    <n v="0.48799999999999999"/>
    <n v="5.8999999999999997E-2"/>
    <x v="1"/>
    <n v="0.12090163934426229"/>
  </r>
  <r>
    <n v="111334"/>
    <n v="111300"/>
    <x v="15"/>
    <n v="0.42899999999999999"/>
    <n v="5.8999999999999997E-2"/>
    <n v="0.48799999999999999"/>
    <n v="5.8999999999999997E-2"/>
    <x v="1"/>
    <n v="0.12090163934426229"/>
  </r>
  <r>
    <n v="111335"/>
    <n v="111300"/>
    <x v="16"/>
    <n v="0.42899999999999999"/>
    <n v="5.8999999999999997E-2"/>
    <n v="0.48799999999999999"/>
    <n v="5.8999999999999997E-2"/>
    <x v="1"/>
    <n v="0.12090163934426229"/>
  </r>
  <r>
    <n v="111336"/>
    <n v="111300"/>
    <x v="17"/>
    <n v="0.42899999999999999"/>
    <n v="5.8999999999999997E-2"/>
    <n v="0.48799999999999999"/>
    <n v="5.8999999999999997E-2"/>
    <x v="1"/>
    <n v="0.12090163934426229"/>
  </r>
  <r>
    <n v="111339"/>
    <n v="111300"/>
    <x v="18"/>
    <n v="0.42899999999999999"/>
    <n v="5.8999999999999997E-2"/>
    <n v="0.48799999999999999"/>
    <n v="5.8999999999999997E-2"/>
    <x v="1"/>
    <n v="0.12090163934426229"/>
  </r>
  <r>
    <n v="111411"/>
    <n v="111400"/>
    <x v="19"/>
    <n v="0.26600000000000001"/>
    <n v="4.1000000000000002E-2"/>
    <n v="0.307"/>
    <n v="4.0999999999999981E-2"/>
    <x v="1"/>
    <n v="0.13355048859934854"/>
  </r>
  <r>
    <n v="111419"/>
    <n v="111400"/>
    <x v="20"/>
    <n v="0.26600000000000001"/>
    <n v="4.1000000000000002E-2"/>
    <n v="0.307"/>
    <n v="4.0999999999999981E-2"/>
    <x v="1"/>
    <n v="0.13355048859934854"/>
  </r>
  <r>
    <n v="111421"/>
    <n v="111400"/>
    <x v="21"/>
    <n v="0.26600000000000001"/>
    <n v="4.1000000000000002E-2"/>
    <n v="0.307"/>
    <n v="4.0999999999999981E-2"/>
    <x v="1"/>
    <n v="0.13355048859934854"/>
  </r>
  <r>
    <n v="111422"/>
    <n v="111400"/>
    <x v="22"/>
    <n v="0.26600000000000001"/>
    <n v="4.1000000000000002E-2"/>
    <n v="0.307"/>
    <n v="4.0999999999999981E-2"/>
    <x v="1"/>
    <n v="0.13355048859934854"/>
  </r>
  <r>
    <n v="111910"/>
    <n v="111900"/>
    <x v="23"/>
    <n v="0.70299999999999996"/>
    <n v="3.6999999999999998E-2"/>
    <n v="0.74"/>
    <n v="3.7000000000000033E-2"/>
    <x v="1"/>
    <n v="4.9999999999999996E-2"/>
  </r>
  <r>
    <n v="111920"/>
    <n v="111900"/>
    <x v="24"/>
    <n v="0.70299999999999996"/>
    <n v="3.6999999999999998E-2"/>
    <n v="0.74"/>
    <n v="3.7000000000000033E-2"/>
    <x v="0"/>
    <n v="4.9999999999999996E-2"/>
  </r>
  <r>
    <n v="111930"/>
    <n v="111900"/>
    <x v="25"/>
    <n v="0.70299999999999996"/>
    <n v="3.6999999999999998E-2"/>
    <n v="0.74"/>
    <n v="3.7000000000000033E-2"/>
    <x v="0"/>
    <n v="4.9999999999999996E-2"/>
  </r>
  <r>
    <n v="111940"/>
    <n v="111900"/>
    <x v="26"/>
    <n v="0.70299999999999996"/>
    <n v="3.6999999999999998E-2"/>
    <n v="0.74"/>
    <n v="3.7000000000000033E-2"/>
    <x v="0"/>
    <n v="4.9999999999999996E-2"/>
  </r>
  <r>
    <n v="111991"/>
    <n v="111900"/>
    <x v="27"/>
    <n v="0.70299999999999996"/>
    <n v="3.6999999999999998E-2"/>
    <n v="0.74"/>
    <n v="3.7000000000000033E-2"/>
    <x v="0"/>
    <n v="4.9999999999999996E-2"/>
  </r>
  <r>
    <n v="111992"/>
    <n v="111900"/>
    <x v="28"/>
    <n v="0.70299999999999996"/>
    <n v="3.6999999999999998E-2"/>
    <n v="0.74"/>
    <n v="3.7000000000000033E-2"/>
    <x v="0"/>
    <n v="4.9999999999999996E-2"/>
  </r>
  <r>
    <n v="111998"/>
    <n v="111900"/>
    <x v="29"/>
    <n v="0.70299999999999996"/>
    <n v="3.6999999999999998E-2"/>
    <n v="0.74"/>
    <n v="3.7000000000000033E-2"/>
    <x v="0"/>
    <n v="4.9999999999999996E-2"/>
  </r>
  <r>
    <n v="112111"/>
    <s v="1121A0"/>
    <x v="30"/>
    <n v="2.847"/>
    <n v="4.4999999999999998E-2"/>
    <n v="2.8929999999999998"/>
    <n v="4.5999999999999819E-2"/>
    <x v="0"/>
    <n v="1.5554787417905289E-2"/>
  </r>
  <r>
    <n v="112112"/>
    <s v="1121A0"/>
    <x v="31"/>
    <n v="2.847"/>
    <n v="4.4999999999999998E-2"/>
    <n v="2.8929999999999998"/>
    <n v="4.5999999999999819E-2"/>
    <x v="0"/>
    <n v="1.5554787417905289E-2"/>
  </r>
  <r>
    <n v="112120"/>
    <n v="112120"/>
    <x v="32"/>
    <n v="1.6819999999999999"/>
    <n v="4.2000000000000003E-2"/>
    <n v="1.724"/>
    <n v="4.2000000000000037E-2"/>
    <x v="0"/>
    <n v="2.4361948955916476E-2"/>
  </r>
  <r>
    <n v="112130"/>
    <s v="1121A0"/>
    <x v="33"/>
    <n v="2.847"/>
    <n v="4.4999999999999998E-2"/>
    <n v="2.8929999999999998"/>
    <n v="4.5999999999999819E-2"/>
    <x v="0"/>
    <n v="1.5554787417905289E-2"/>
  </r>
  <r>
    <n v="112210"/>
    <s v="112A00"/>
    <x v="34"/>
    <n v="1.077"/>
    <n v="5.0999999999999997E-2"/>
    <n v="1.1279999999999999"/>
    <n v="5.0999999999999934E-2"/>
    <x v="0"/>
    <n v="4.5212765957446811E-2"/>
  </r>
  <r>
    <n v="112310"/>
    <n v="112300"/>
    <x v="35"/>
    <n v="0.40699999999999997"/>
    <n v="3.1E-2"/>
    <n v="0.438"/>
    <n v="3.1000000000000028E-2"/>
    <x v="0"/>
    <n v="7.0776255707762553E-2"/>
  </r>
  <r>
    <n v="112320"/>
    <n v="112300"/>
    <x v="36"/>
    <n v="0.40699999999999997"/>
    <n v="3.1E-2"/>
    <n v="0.438"/>
    <n v="3.1000000000000028E-2"/>
    <x v="1"/>
    <n v="7.0776255707762553E-2"/>
  </r>
  <r>
    <n v="112330"/>
    <n v="112300"/>
    <x v="37"/>
    <n v="0.40699999999999997"/>
    <n v="3.1E-2"/>
    <n v="0.438"/>
    <n v="3.1000000000000028E-2"/>
    <x v="1"/>
    <n v="7.0776255707762553E-2"/>
  </r>
  <r>
    <n v="112340"/>
    <n v="112300"/>
    <x v="38"/>
    <n v="0.40699999999999997"/>
    <n v="3.1E-2"/>
    <n v="0.438"/>
    <n v="3.1000000000000028E-2"/>
    <x v="1"/>
    <n v="7.0776255707762553E-2"/>
  </r>
  <r>
    <n v="112390"/>
    <n v="112300"/>
    <x v="39"/>
    <n v="0.40699999999999997"/>
    <n v="3.1E-2"/>
    <n v="0.438"/>
    <n v="3.1000000000000028E-2"/>
    <x v="1"/>
    <n v="7.0776255707762553E-2"/>
  </r>
  <r>
    <n v="112410"/>
    <s v="112A00"/>
    <x v="40"/>
    <n v="1.077"/>
    <n v="5.0999999999999997E-2"/>
    <n v="1.1279999999999999"/>
    <n v="5.0999999999999934E-2"/>
    <x v="1"/>
    <n v="4.5212765957446811E-2"/>
  </r>
  <r>
    <n v="112420"/>
    <s v="112A00"/>
    <x v="41"/>
    <n v="1.077"/>
    <n v="5.0999999999999997E-2"/>
    <n v="1.1279999999999999"/>
    <n v="5.0999999999999934E-2"/>
    <x v="0"/>
    <n v="4.5212765957446811E-2"/>
  </r>
  <r>
    <n v="112511"/>
    <s v="112A00"/>
    <x v="42"/>
    <n v="1.077"/>
    <n v="5.0999999999999997E-2"/>
    <n v="1.1279999999999999"/>
    <n v="5.0999999999999934E-2"/>
    <x v="0"/>
    <n v="4.5212765957446811E-2"/>
  </r>
  <r>
    <n v="112512"/>
    <s v="112A00"/>
    <x v="43"/>
    <n v="1.077"/>
    <n v="5.0999999999999997E-2"/>
    <n v="1.1279999999999999"/>
    <n v="5.0999999999999934E-2"/>
    <x v="0"/>
    <n v="4.5212765957446811E-2"/>
  </r>
  <r>
    <n v="112519"/>
    <s v="112A00"/>
    <x v="44"/>
    <n v="1.077"/>
    <n v="5.0999999999999997E-2"/>
    <n v="1.1279999999999999"/>
    <n v="5.0999999999999934E-2"/>
    <x v="0"/>
    <n v="4.5212765957446811E-2"/>
  </r>
  <r>
    <n v="112910"/>
    <s v="112A00"/>
    <x v="45"/>
    <n v="1.077"/>
    <n v="5.0999999999999997E-2"/>
    <n v="1.1279999999999999"/>
    <n v="5.0999999999999934E-2"/>
    <x v="0"/>
    <n v="4.5212765957446811E-2"/>
  </r>
  <r>
    <n v="112920"/>
    <s v="112A00"/>
    <x v="46"/>
    <n v="1.077"/>
    <n v="5.0999999999999997E-2"/>
    <n v="1.1279999999999999"/>
    <n v="5.0999999999999934E-2"/>
    <x v="0"/>
    <n v="4.5212765957446811E-2"/>
  </r>
  <r>
    <n v="112930"/>
    <s v="112A00"/>
    <x v="47"/>
    <n v="1.077"/>
    <n v="5.0999999999999997E-2"/>
    <n v="1.1279999999999999"/>
    <n v="5.0999999999999934E-2"/>
    <x v="0"/>
    <n v="4.5212765957446811E-2"/>
  </r>
  <r>
    <n v="112990"/>
    <s v="112A00"/>
    <x v="48"/>
    <n v="1.077"/>
    <n v="5.0999999999999997E-2"/>
    <n v="1.1279999999999999"/>
    <n v="5.0999999999999934E-2"/>
    <x v="0"/>
    <n v="4.5212765957446811E-2"/>
  </r>
  <r>
    <n v="113110"/>
    <n v="113000"/>
    <x v="49"/>
    <n v="0.19900000000000001"/>
    <n v="4.4999999999999998E-2"/>
    <n v="0.24299999999999999"/>
    <n v="4.3999999999999984E-2"/>
    <x v="0"/>
    <n v="0.18518518518518517"/>
  </r>
  <r>
    <n v="113210"/>
    <n v="113000"/>
    <x v="50"/>
    <n v="0.19900000000000001"/>
    <n v="4.4999999999999998E-2"/>
    <n v="0.24299999999999999"/>
    <n v="4.3999999999999984E-2"/>
    <x v="1"/>
    <n v="0.18518518518518517"/>
  </r>
  <r>
    <n v="113310"/>
    <n v="113000"/>
    <x v="51"/>
    <n v="0.19900000000000001"/>
    <n v="4.4999999999999998E-2"/>
    <n v="0.24299999999999999"/>
    <n v="4.3999999999999984E-2"/>
    <x v="1"/>
    <n v="0.18518518518518517"/>
  </r>
  <r>
    <n v="114111"/>
    <n v="114000"/>
    <x v="52"/>
    <n v="0.127"/>
    <n v="2.7E-2"/>
    <n v="0.154"/>
    <n v="2.6999999999999996E-2"/>
    <x v="1"/>
    <n v="0.17532467532467533"/>
  </r>
  <r>
    <n v="114112"/>
    <n v="114000"/>
    <x v="53"/>
    <n v="0.127"/>
    <n v="2.7E-2"/>
    <n v="0.154"/>
    <n v="2.6999999999999996E-2"/>
    <x v="1"/>
    <n v="0.17532467532467533"/>
  </r>
  <r>
    <n v="114119"/>
    <n v="114000"/>
    <x v="54"/>
    <n v="0.127"/>
    <n v="2.7E-2"/>
    <n v="0.154"/>
    <n v="2.6999999999999996E-2"/>
    <x v="1"/>
    <n v="0.17532467532467533"/>
  </r>
  <r>
    <n v="114210"/>
    <n v="114000"/>
    <x v="55"/>
    <n v="0.127"/>
    <n v="2.7E-2"/>
    <n v="0.154"/>
    <n v="2.6999999999999996E-2"/>
    <x v="1"/>
    <n v="0.17532467532467533"/>
  </r>
  <r>
    <n v="115111"/>
    <n v="115000"/>
    <x v="56"/>
    <n v="0.38400000000000001"/>
    <n v="0"/>
    <n v="0.38400000000000001"/>
    <n v="0"/>
    <x v="1"/>
    <n v="0"/>
  </r>
  <r>
    <n v="115112"/>
    <n v="115000"/>
    <x v="57"/>
    <n v="0.38400000000000001"/>
    <n v="0"/>
    <n v="0.38400000000000001"/>
    <n v="0"/>
    <x v="1"/>
    <n v="0"/>
  </r>
  <r>
    <n v="115113"/>
    <n v="115000"/>
    <x v="58"/>
    <n v="0.38400000000000001"/>
    <n v="0"/>
    <n v="0.38400000000000001"/>
    <n v="0"/>
    <x v="1"/>
    <n v="0"/>
  </r>
  <r>
    <n v="115114"/>
    <n v="115000"/>
    <x v="59"/>
    <n v="0.38400000000000001"/>
    <n v="0"/>
    <n v="0.38400000000000001"/>
    <n v="0"/>
    <x v="1"/>
    <n v="0"/>
  </r>
  <r>
    <n v="115115"/>
    <n v="115000"/>
    <x v="60"/>
    <n v="0.38400000000000001"/>
    <n v="0"/>
    <n v="0.38400000000000001"/>
    <n v="0"/>
    <x v="1"/>
    <n v="0"/>
  </r>
  <r>
    <n v="115116"/>
    <n v="115000"/>
    <x v="61"/>
    <n v="0.38400000000000001"/>
    <n v="0"/>
    <n v="0.38400000000000001"/>
    <n v="0"/>
    <x v="1"/>
    <n v="0"/>
  </r>
  <r>
    <n v="115210"/>
    <n v="115000"/>
    <x v="62"/>
    <n v="0.38400000000000001"/>
    <n v="0"/>
    <n v="0.38400000000000001"/>
    <n v="0"/>
    <x v="1"/>
    <n v="0"/>
  </r>
  <r>
    <n v="115310"/>
    <n v="115000"/>
    <x v="63"/>
    <n v="0.38400000000000001"/>
    <n v="0"/>
    <n v="0.38400000000000001"/>
    <n v="0"/>
    <x v="1"/>
    <n v="0"/>
  </r>
  <r>
    <n v="211120"/>
    <n v="211000"/>
    <x v="64"/>
    <n v="0.377"/>
    <n v="2.8000000000000001E-2"/>
    <n v="0.40500000000000003"/>
    <n v="2.8000000000000025E-2"/>
    <x v="1"/>
    <n v="6.9135802469135796E-2"/>
  </r>
  <r>
    <n v="211130"/>
    <n v="211000"/>
    <x v="65"/>
    <n v="0.377"/>
    <n v="2.8000000000000001E-2"/>
    <n v="0.40500000000000003"/>
    <n v="2.8000000000000025E-2"/>
    <x v="1"/>
    <n v="6.9135802469135796E-2"/>
  </r>
  <r>
    <n v="212111"/>
    <n v="212100"/>
    <x v="66"/>
    <n v="0.747"/>
    <n v="9.4E-2"/>
    <n v="0.84099999999999997"/>
    <n v="9.3999999999999972E-2"/>
    <x v="1"/>
    <n v="0.1117717003567182"/>
  </r>
  <r>
    <n v="212112"/>
    <n v="212100"/>
    <x v="67"/>
    <n v="0.747"/>
    <n v="9.4E-2"/>
    <n v="0.84099999999999997"/>
    <n v="9.3999999999999972E-2"/>
    <x v="0"/>
    <n v="0.1117717003567182"/>
  </r>
  <r>
    <n v="212113"/>
    <n v="212100"/>
    <x v="68"/>
    <n v="0.747"/>
    <n v="9.4E-2"/>
    <n v="0.84099999999999997"/>
    <n v="9.3999999999999972E-2"/>
    <x v="0"/>
    <n v="0.1117717003567182"/>
  </r>
  <r>
    <n v="212210"/>
    <s v="2122A0"/>
    <x v="69"/>
    <n v="0.54"/>
    <n v="5.3999999999999999E-2"/>
    <n v="0.59299999999999997"/>
    <n v="5.2999999999999936E-2"/>
    <x v="0"/>
    <n v="9.1062394603709948E-2"/>
  </r>
  <r>
    <n v="212221"/>
    <s v="2122A0"/>
    <x v="70"/>
    <n v="0.54"/>
    <n v="5.3999999999999999E-2"/>
    <n v="0.59299999999999997"/>
    <n v="5.2999999999999936E-2"/>
    <x v="0"/>
    <n v="9.1062394603709948E-2"/>
  </r>
  <r>
    <n v="212222"/>
    <s v="2122A0"/>
    <x v="71"/>
    <n v="0.54"/>
    <n v="5.3999999999999999E-2"/>
    <n v="0.59299999999999997"/>
    <n v="5.2999999999999936E-2"/>
    <x v="0"/>
    <n v="9.1062394603709948E-2"/>
  </r>
  <r>
    <n v="212230"/>
    <n v="212230"/>
    <x v="72"/>
    <n v="0.27"/>
    <n v="5.2999999999999999E-2"/>
    <n v="0.32400000000000001"/>
    <n v="5.3999999999999992E-2"/>
    <x v="0"/>
    <n v="0.16358024691358022"/>
  </r>
  <r>
    <n v="212291"/>
    <s v="2122A0"/>
    <x v="73"/>
    <n v="0.54"/>
    <n v="5.3999999999999999E-2"/>
    <n v="0.59299999999999997"/>
    <n v="5.2999999999999936E-2"/>
    <x v="1"/>
    <n v="9.1062394603709948E-2"/>
  </r>
  <r>
    <n v="212299"/>
    <s v="2122A0"/>
    <x v="74"/>
    <n v="0.54"/>
    <n v="5.3999999999999999E-2"/>
    <n v="0.59299999999999997"/>
    <n v="5.2999999999999936E-2"/>
    <x v="0"/>
    <n v="9.1062394603709948E-2"/>
  </r>
  <r>
    <n v="212311"/>
    <n v="212310"/>
    <x v="75"/>
    <n v="0.193"/>
    <n v="8.5999999999999993E-2"/>
    <n v="0.27900000000000003"/>
    <n v="8.6000000000000021E-2"/>
    <x v="0"/>
    <n v="0.30824372759856628"/>
  </r>
  <r>
    <n v="212312"/>
    <n v="212310"/>
    <x v="76"/>
    <n v="0.193"/>
    <n v="8.5999999999999993E-2"/>
    <n v="0.27900000000000003"/>
    <n v="8.6000000000000021E-2"/>
    <x v="1"/>
    <n v="0.30824372759856628"/>
  </r>
  <r>
    <n v="212313"/>
    <n v="212310"/>
    <x v="77"/>
    <n v="0.193"/>
    <n v="8.5999999999999993E-2"/>
    <n v="0.27900000000000003"/>
    <n v="8.6000000000000021E-2"/>
    <x v="1"/>
    <n v="0.30824372759856628"/>
  </r>
  <r>
    <n v="212319"/>
    <n v="212310"/>
    <x v="78"/>
    <n v="0.193"/>
    <n v="8.5999999999999993E-2"/>
    <n v="0.27900000000000003"/>
    <n v="8.6000000000000021E-2"/>
    <x v="1"/>
    <n v="0.30824372759856628"/>
  </r>
  <r>
    <n v="212321"/>
    <s v="2123A0"/>
    <x v="79"/>
    <n v="0.184"/>
    <n v="0.125"/>
    <n v="0.309"/>
    <n v="0.125"/>
    <x v="1"/>
    <n v="0.4045307443365696"/>
  </r>
  <r>
    <n v="212322"/>
    <s v="2123A0"/>
    <x v="80"/>
    <n v="0.184"/>
    <n v="0.125"/>
    <n v="0.309"/>
    <n v="0.125"/>
    <x v="1"/>
    <n v="0.4045307443365696"/>
  </r>
  <r>
    <n v="212324"/>
    <s v="2123A0"/>
    <x v="81"/>
    <n v="0.184"/>
    <n v="0.125"/>
    <n v="0.309"/>
    <n v="0.125"/>
    <x v="1"/>
    <n v="0.4045307443365696"/>
  </r>
  <r>
    <n v="212325"/>
    <s v="2123A0"/>
    <x v="82"/>
    <n v="0.184"/>
    <n v="0.125"/>
    <n v="0.309"/>
    <n v="0.125"/>
    <x v="1"/>
    <n v="0.4045307443365696"/>
  </r>
  <r>
    <n v="212391"/>
    <s v="2123A0"/>
    <x v="83"/>
    <n v="0.184"/>
    <n v="0.125"/>
    <n v="0.309"/>
    <n v="0.125"/>
    <x v="1"/>
    <n v="0.4045307443365696"/>
  </r>
  <r>
    <n v="212392"/>
    <s v="2123A0"/>
    <x v="84"/>
    <n v="0.184"/>
    <n v="0.125"/>
    <n v="0.309"/>
    <n v="0.125"/>
    <x v="1"/>
    <n v="0.4045307443365696"/>
  </r>
  <r>
    <n v="212393"/>
    <s v="2123A0"/>
    <x v="85"/>
    <n v="0.184"/>
    <n v="0.125"/>
    <n v="0.309"/>
    <n v="0.125"/>
    <x v="1"/>
    <n v="0.4045307443365696"/>
  </r>
  <r>
    <n v="212399"/>
    <s v="2123A0"/>
    <x v="86"/>
    <n v="0.184"/>
    <n v="0.125"/>
    <n v="0.309"/>
    <n v="0.125"/>
    <x v="1"/>
    <n v="0.4045307443365696"/>
  </r>
  <r>
    <n v="213111"/>
    <n v="213111"/>
    <x v="87"/>
    <n v="0.40699999999999997"/>
    <n v="0"/>
    <n v="0.40699999999999997"/>
    <n v="0"/>
    <x v="1"/>
    <n v="0"/>
  </r>
  <r>
    <n v="213112"/>
    <s v="21311A"/>
    <x v="88"/>
    <n v="0.372"/>
    <n v="0"/>
    <n v="0.372"/>
    <n v="0"/>
    <x v="1"/>
    <n v="0"/>
  </r>
  <r>
    <n v="213113"/>
    <s v="21311A"/>
    <x v="89"/>
    <n v="0.372"/>
    <n v="0"/>
    <n v="0.372"/>
    <n v="0"/>
    <x v="1"/>
    <n v="0"/>
  </r>
  <r>
    <n v="213114"/>
    <s v="21311A"/>
    <x v="90"/>
    <n v="0.372"/>
    <n v="0"/>
    <n v="0.372"/>
    <n v="0"/>
    <x v="1"/>
    <n v="0"/>
  </r>
  <r>
    <n v="213115"/>
    <s v="21311A"/>
    <x v="91"/>
    <n v="0.372"/>
    <n v="0"/>
    <n v="0.372"/>
    <n v="0"/>
    <x v="1"/>
    <n v="0"/>
  </r>
  <r>
    <n v="221210"/>
    <n v="221200"/>
    <x v="92"/>
    <n v="0.53200000000000003"/>
    <n v="0"/>
    <n v="0.53200000000000003"/>
    <n v="0"/>
    <x v="1"/>
    <n v="0"/>
  </r>
  <r>
    <n v="221310"/>
    <n v="221300"/>
    <x v="93"/>
    <n v="0.57799999999999996"/>
    <n v="0"/>
    <n v="0.57799999999999996"/>
    <n v="0"/>
    <x v="0"/>
    <n v="0"/>
  </r>
  <r>
    <n v="221320"/>
    <n v="221300"/>
    <x v="94"/>
    <n v="0.57799999999999996"/>
    <n v="0"/>
    <n v="0.57799999999999996"/>
    <n v="0"/>
    <x v="0"/>
    <n v="0"/>
  </r>
  <r>
    <n v="221330"/>
    <n v="221300"/>
    <x v="95"/>
    <n v="0.57799999999999996"/>
    <n v="0"/>
    <n v="0.57799999999999996"/>
    <n v="0"/>
    <x v="0"/>
    <n v="0"/>
  </r>
  <r>
    <n v="236115"/>
    <n v="233411"/>
    <x v="96"/>
    <n v="0.19400000000000001"/>
    <n v="0"/>
    <n v="0.19400000000000001"/>
    <n v="0"/>
    <x v="0"/>
    <n v="0"/>
  </r>
  <r>
    <n v="236116"/>
    <n v="233412"/>
    <x v="97"/>
    <n v="0.221"/>
    <n v="0"/>
    <n v="0.221"/>
    <n v="0"/>
    <x v="1"/>
    <n v="0"/>
  </r>
  <r>
    <n v="236117"/>
    <s v="233411, 233412, 2334A0"/>
    <x v="98"/>
    <n v="0.216"/>
    <n v="0"/>
    <n v="0.216"/>
    <n v="0"/>
    <x v="1"/>
    <n v="0"/>
  </r>
  <r>
    <n v="236118"/>
    <n v="230302"/>
    <x v="99"/>
    <n v="0.21099999999999999"/>
    <n v="0"/>
    <n v="0.21099999999999999"/>
    <n v="0"/>
    <x v="1"/>
    <n v="0"/>
  </r>
  <r>
    <n v="236210"/>
    <s v="230301, 233230"/>
    <x v="100"/>
    <n v="0.23899999999999999"/>
    <n v="0"/>
    <n v="0.23899999999999999"/>
    <n v="0"/>
    <x v="1"/>
    <n v="0"/>
  </r>
  <r>
    <n v="236220"/>
    <s v="230301, 233210, 233262, 2332A0"/>
    <x v="101"/>
    <n v="0.224"/>
    <n v="0"/>
    <n v="0.224"/>
    <n v="0"/>
    <x v="1"/>
    <n v="0"/>
  </r>
  <r>
    <n v="237110"/>
    <n v="233240"/>
    <x v="102"/>
    <n v="0.27700000000000002"/>
    <n v="0"/>
    <n v="0.27700000000000002"/>
    <n v="0"/>
    <x v="1"/>
    <n v="0"/>
  </r>
  <r>
    <n v="237120"/>
    <n v="233240"/>
    <x v="103"/>
    <n v="0.27700000000000002"/>
    <n v="0"/>
    <n v="0.27700000000000002"/>
    <n v="0"/>
    <x v="1"/>
    <n v="0"/>
  </r>
  <r>
    <n v="237130"/>
    <n v="233240"/>
    <x v="104"/>
    <n v="0.27700000000000002"/>
    <n v="0"/>
    <n v="0.27700000000000002"/>
    <n v="0"/>
    <x v="1"/>
    <n v="0"/>
  </r>
  <r>
    <n v="237210"/>
    <s v="233210, 233230, 233240, 233262, 2332A0, 2332C0, 2332D0, 233411, 233412, 2334A0"/>
    <x v="105"/>
    <n v="0.221"/>
    <n v="0"/>
    <n v="0.221"/>
    <n v="0"/>
    <x v="1"/>
    <n v="0"/>
  </r>
  <r>
    <n v="237310"/>
    <s v="2332C0"/>
    <x v="106"/>
    <n v="0.255"/>
    <n v="0"/>
    <n v="0.255"/>
    <n v="0"/>
    <x v="1"/>
    <n v="0"/>
  </r>
  <r>
    <n v="237990"/>
    <s v="2332D0"/>
    <x v="107"/>
    <n v="0.20200000000000001"/>
    <n v="0"/>
    <n v="0.20200000000000001"/>
    <n v="0"/>
    <x v="1"/>
    <n v="0"/>
  </r>
  <r>
    <n v="238110"/>
    <s v="230301, 230302, 233210, 233230, 233240, 233262, 2332A0, 2332D0, 233411, 233412, 2334A0"/>
    <x v="108"/>
    <n v="0.221"/>
    <n v="0"/>
    <n v="0.221"/>
    <n v="0"/>
    <x v="1"/>
    <n v="0"/>
  </r>
  <r>
    <n v="238120"/>
    <s v="230301, 230302, 233210, 233230, 233240, 233262, 2332A0, 2332D0, 233411, 233412, 2334A0"/>
    <x v="109"/>
    <n v="0.221"/>
    <n v="0"/>
    <n v="0.221"/>
    <n v="0"/>
    <x v="1"/>
    <n v="0"/>
  </r>
  <r>
    <n v="238130"/>
    <s v="230301, 230302, 233210, 233230, 233240, 233262, 2332A0, 2332D0, 233411, 233412, 2334A0"/>
    <x v="110"/>
    <n v="0.221"/>
    <n v="0"/>
    <n v="0.221"/>
    <n v="0"/>
    <x v="1"/>
    <n v="0"/>
  </r>
  <r>
    <n v="238140"/>
    <s v="230301, 230302, 233210, 233230, 233240, 233262, 2332A0, 2332D0, 233411, 233412, 2334A0"/>
    <x v="111"/>
    <n v="0.221"/>
    <n v="0"/>
    <n v="0.221"/>
    <n v="0"/>
    <x v="1"/>
    <n v="0"/>
  </r>
  <r>
    <n v="238150"/>
    <s v="230301, 230302, 233210, 233230, 233240, 233262, 2332A0, 2332D0, 233411, 233412, 2334A0"/>
    <x v="112"/>
    <n v="0.221"/>
    <n v="0"/>
    <n v="0.221"/>
    <n v="0"/>
    <x v="1"/>
    <n v="0"/>
  </r>
  <r>
    <n v="238160"/>
    <s v="230301, 230302, 233210, 233230, 233240, 233262, 2332A0, 2332D0, 233411, 233412, 2334A0"/>
    <x v="113"/>
    <n v="0.221"/>
    <n v="0"/>
    <n v="0.221"/>
    <n v="0"/>
    <x v="1"/>
    <n v="0"/>
  </r>
  <r>
    <n v="238170"/>
    <s v="230301, 230302, 233210, 233230, 233240, 233262, 2332A0, 2332D0, 233411, 233412, 2334A0"/>
    <x v="114"/>
    <n v="0.221"/>
    <n v="0"/>
    <n v="0.221"/>
    <n v="0"/>
    <x v="1"/>
    <n v="0"/>
  </r>
  <r>
    <n v="238190"/>
    <s v="230301, 230302, 233210, 233230, 233240, 233262, 2332A0, 2332D0, 233411, 233412, 2334A0"/>
    <x v="115"/>
    <n v="0.221"/>
    <n v="0"/>
    <n v="0.221"/>
    <n v="0"/>
    <x v="1"/>
    <n v="0"/>
  </r>
  <r>
    <n v="238210"/>
    <s v="230301, 230302, 233210, 233230, 233240, 233262, 2332A0, 2332D0, 233411, 233412, 2334A0"/>
    <x v="116"/>
    <n v="0.221"/>
    <n v="0"/>
    <n v="0.221"/>
    <n v="0"/>
    <x v="1"/>
    <n v="0"/>
  </r>
  <r>
    <n v="238220"/>
    <s v="230301, 230302, 233210, 233230, 233240, 233262, 2332A0, 2332D0, 233411, 233412, 2334A0"/>
    <x v="117"/>
    <n v="0.221"/>
    <n v="0"/>
    <n v="0.221"/>
    <n v="0"/>
    <x v="1"/>
    <n v="0"/>
  </r>
  <r>
    <n v="238290"/>
    <s v="230301, 230302, 233210, 233230, 233240, 233262, 2332A0, 2332D0, 233411, 233412, 2334A0"/>
    <x v="118"/>
    <n v="0.221"/>
    <n v="0"/>
    <n v="0.221"/>
    <n v="0"/>
    <x v="1"/>
    <n v="0"/>
  </r>
  <r>
    <n v="238310"/>
    <s v="230301, 230302, 233210, 233230, 233240, 233262, 2332A0, 2332D0, 233411, 233412, 2334A0"/>
    <x v="119"/>
    <n v="0.221"/>
    <n v="0"/>
    <n v="0.221"/>
    <n v="0"/>
    <x v="1"/>
    <n v="0"/>
  </r>
  <r>
    <n v="238320"/>
    <s v="230301, 230302, 233210, 233230, 233240, 233262, 2332A0, 2332D0, 233411, 233412, 2334A0"/>
    <x v="120"/>
    <n v="0.221"/>
    <n v="0"/>
    <n v="0.221"/>
    <n v="0"/>
    <x v="1"/>
    <n v="0"/>
  </r>
  <r>
    <n v="238330"/>
    <s v="230301, 230302, 233210, 233230, 233240, 233262, 2332A0, 2332D0, 233411, 233412, 2334A0"/>
    <x v="121"/>
    <n v="0.221"/>
    <n v="0"/>
    <n v="0.221"/>
    <n v="0"/>
    <x v="1"/>
    <n v="0"/>
  </r>
  <r>
    <n v="238340"/>
    <s v="230301, 230302, 233210, 233230, 233240, 233262, 2332A0, 2332D0, 233411, 233412, 2334A0"/>
    <x v="122"/>
    <n v="0.221"/>
    <n v="0"/>
    <n v="0.221"/>
    <n v="0"/>
    <x v="1"/>
    <n v="0"/>
  </r>
  <r>
    <n v="238350"/>
    <s v="230301, 230302, 233210, 233230, 233240, 233262, 2332A0, 2332D0, 233411, 233412, 2334A0"/>
    <x v="123"/>
    <n v="0.221"/>
    <n v="0"/>
    <n v="0.221"/>
    <n v="0"/>
    <x v="1"/>
    <n v="0"/>
  </r>
  <r>
    <n v="238390"/>
    <s v="230301, 230302, 233210, 233230, 233240, 233262, 2332A0, 2332D0, 233411, 233412, 2334A0"/>
    <x v="124"/>
    <n v="0.221"/>
    <n v="0"/>
    <n v="0.221"/>
    <n v="0"/>
    <x v="1"/>
    <n v="0"/>
  </r>
  <r>
    <n v="238910"/>
    <s v="230301, 230302, 233210, 233230, 233240, 233262, 2332A0, 2332D0, 233411, 233412, 2334A0"/>
    <x v="125"/>
    <n v="0.221"/>
    <n v="0"/>
    <n v="0.221"/>
    <n v="0"/>
    <x v="1"/>
    <n v="0"/>
  </r>
  <r>
    <n v="238990"/>
    <s v="230301, 230302, 233210, 233230, 233240, 233262, 2332A0, 2332D0, 233411, 233412, 2334A0"/>
    <x v="126"/>
    <n v="0.221"/>
    <n v="0"/>
    <n v="0.221"/>
    <n v="0"/>
    <x v="1"/>
    <n v="0"/>
  </r>
  <r>
    <n v="311111"/>
    <n v="311111"/>
    <x v="127"/>
    <n v="0.28199999999999997"/>
    <n v="5.0999999999999997E-2"/>
    <n v="0.33300000000000002"/>
    <n v="5.1000000000000045E-2"/>
    <x v="1"/>
    <n v="0.15315315315315314"/>
  </r>
  <r>
    <n v="311119"/>
    <n v="311119"/>
    <x v="128"/>
    <n v="0.42799999999999999"/>
    <n v="3.1E-2"/>
    <n v="0.45900000000000002"/>
    <n v="3.1000000000000028E-2"/>
    <x v="1"/>
    <n v="6.7538126361655765E-2"/>
  </r>
  <r>
    <n v="311211"/>
    <n v="311210"/>
    <x v="129"/>
    <n v="0.73199999999999998"/>
    <n v="3.6999999999999998E-2"/>
    <n v="0.76900000000000002"/>
    <n v="3.7000000000000033E-2"/>
    <x v="1"/>
    <n v="4.8114434330299084E-2"/>
  </r>
  <r>
    <n v="311212"/>
    <n v="311210"/>
    <x v="130"/>
    <n v="0.73199999999999998"/>
    <n v="3.6999999999999998E-2"/>
    <n v="0.76900000000000002"/>
    <n v="3.7000000000000033E-2"/>
    <x v="0"/>
    <n v="4.8114434330299084E-2"/>
  </r>
  <r>
    <n v="311213"/>
    <n v="311210"/>
    <x v="131"/>
    <n v="0.73199999999999998"/>
    <n v="3.6999999999999998E-2"/>
    <n v="0.76900000000000002"/>
    <n v="3.7000000000000033E-2"/>
    <x v="0"/>
    <n v="4.8114434330299084E-2"/>
  </r>
  <r>
    <n v="311221"/>
    <n v="311221"/>
    <x v="132"/>
    <n v="0.95599999999999996"/>
    <n v="3.6999999999999998E-2"/>
    <n v="0.99299999999999999"/>
    <n v="3.7000000000000033E-2"/>
    <x v="0"/>
    <n v="3.726082578046324E-2"/>
  </r>
  <r>
    <n v="311224"/>
    <n v="311224"/>
    <x v="133"/>
    <n v="0.48099999999999998"/>
    <n v="0.03"/>
    <n v="0.51100000000000001"/>
    <n v="3.0000000000000027E-2"/>
    <x v="0"/>
    <n v="5.8708414872798431E-2"/>
  </r>
  <r>
    <n v="311225"/>
    <n v="311225"/>
    <x v="134"/>
    <n v="0.36"/>
    <n v="2.5000000000000001E-2"/>
    <n v="0.38500000000000001"/>
    <n v="2.5000000000000022E-2"/>
    <x v="0"/>
    <n v="6.4935064935064943E-2"/>
  </r>
  <r>
    <n v="311230"/>
    <n v="311230"/>
    <x v="135"/>
    <n v="0.42299999999999999"/>
    <n v="0.05"/>
    <n v="0.47299999999999998"/>
    <n v="4.9999999999999989E-2"/>
    <x v="1"/>
    <n v="0.10570824524312898"/>
  </r>
  <r>
    <n v="311313"/>
    <n v="311300"/>
    <x v="136"/>
    <n v="0.442"/>
    <n v="0.04"/>
    <n v="0.48199999999999998"/>
    <n v="3.999999999999998E-2"/>
    <x v="1"/>
    <n v="8.2987551867219927E-2"/>
  </r>
  <r>
    <n v="311314"/>
    <n v="311300"/>
    <x v="137"/>
    <n v="0.442"/>
    <n v="0.04"/>
    <n v="0.48199999999999998"/>
    <n v="3.999999999999998E-2"/>
    <x v="1"/>
    <n v="8.2987551867219927E-2"/>
  </r>
  <r>
    <n v="311340"/>
    <n v="311300"/>
    <x v="138"/>
    <n v="0.442"/>
    <n v="0.04"/>
    <n v="0.48199999999999998"/>
    <n v="3.999999999999998E-2"/>
    <x v="1"/>
    <n v="8.2987551867219927E-2"/>
  </r>
  <r>
    <n v="311351"/>
    <n v="311300"/>
    <x v="139"/>
    <n v="0.442"/>
    <n v="0.04"/>
    <n v="0.48199999999999998"/>
    <n v="3.999999999999998E-2"/>
    <x v="1"/>
    <n v="8.2987551867219927E-2"/>
  </r>
  <r>
    <n v="311352"/>
    <n v="311300"/>
    <x v="140"/>
    <n v="0.442"/>
    <n v="0.04"/>
    <n v="0.48199999999999998"/>
    <n v="3.999999999999998E-2"/>
    <x v="1"/>
    <n v="8.2987551867219927E-2"/>
  </r>
  <r>
    <n v="311411"/>
    <n v="311410"/>
    <x v="141"/>
    <n v="0.438"/>
    <n v="4.7E-2"/>
    <n v="0.48499999999999999"/>
    <n v="4.6999999999999986E-2"/>
    <x v="1"/>
    <n v="9.6907216494845363E-2"/>
  </r>
  <r>
    <n v="311412"/>
    <n v="311410"/>
    <x v="142"/>
    <n v="0.438"/>
    <n v="4.7E-2"/>
    <n v="0.48499999999999999"/>
    <n v="4.6999999999999986E-2"/>
    <x v="1"/>
    <n v="9.6907216494845363E-2"/>
  </r>
  <r>
    <n v="311421"/>
    <n v="311420"/>
    <x v="143"/>
    <n v="0.34300000000000003"/>
    <n v="3.7999999999999999E-2"/>
    <n v="0.38100000000000001"/>
    <n v="3.7999999999999978E-2"/>
    <x v="1"/>
    <n v="9.9737532808398949E-2"/>
  </r>
  <r>
    <n v="311422"/>
    <n v="311420"/>
    <x v="144"/>
    <n v="0.34300000000000003"/>
    <n v="3.7999999999999999E-2"/>
    <n v="0.38100000000000001"/>
    <n v="3.7999999999999978E-2"/>
    <x v="1"/>
    <n v="9.9737532808398949E-2"/>
  </r>
  <r>
    <n v="311423"/>
    <n v="311420"/>
    <x v="145"/>
    <n v="0.34300000000000003"/>
    <n v="3.7999999999999999E-2"/>
    <n v="0.38100000000000001"/>
    <n v="3.7999999999999978E-2"/>
    <x v="1"/>
    <n v="9.9737532808398949E-2"/>
  </r>
  <r>
    <n v="311511"/>
    <s v="31151A"/>
    <x v="146"/>
    <n v="0.76600000000000001"/>
    <n v="3.6999999999999998E-2"/>
    <n v="0.80300000000000005"/>
    <n v="3.7000000000000033E-2"/>
    <x v="1"/>
    <n v="4.6077210460772101E-2"/>
  </r>
  <r>
    <n v="311512"/>
    <s v="31151A"/>
    <x v="147"/>
    <n v="0.76600000000000001"/>
    <n v="3.6999999999999998E-2"/>
    <n v="0.80300000000000005"/>
    <n v="3.7000000000000033E-2"/>
    <x v="0"/>
    <n v="4.6077210460772101E-2"/>
  </r>
  <r>
    <n v="311513"/>
    <n v="311513"/>
    <x v="148"/>
    <n v="0.93600000000000005"/>
    <n v="3.4000000000000002E-2"/>
    <n v="0.96899999999999997"/>
    <n v="3.2999999999999918E-2"/>
    <x v="0"/>
    <n v="3.5087719298245619E-2"/>
  </r>
  <r>
    <n v="311514"/>
    <n v="311514"/>
    <x v="149"/>
    <n v="0.60499999999999998"/>
    <n v="3.6999999999999998E-2"/>
    <n v="0.64200000000000002"/>
    <n v="3.7000000000000033E-2"/>
    <x v="0"/>
    <n v="5.7632398753894074E-2"/>
  </r>
  <r>
    <n v="311520"/>
    <n v="311520"/>
    <x v="150"/>
    <n v="0.55000000000000004"/>
    <n v="0.03"/>
    <n v="0.57999999999999996"/>
    <n v="2.9999999999999916E-2"/>
    <x v="0"/>
    <n v="5.1724137931034482E-2"/>
  </r>
  <r>
    <n v="311611"/>
    <s v="31161A"/>
    <x v="151"/>
    <n v="1.0860000000000001"/>
    <n v="3.3000000000000002E-2"/>
    <n v="1.1200000000000001"/>
    <n v="3.400000000000003E-2"/>
    <x v="0"/>
    <n v="2.9464285714285714E-2"/>
  </r>
  <r>
    <n v="311612"/>
    <s v="31161A"/>
    <x v="152"/>
    <n v="1.0860000000000001"/>
    <n v="3.3000000000000002E-2"/>
    <n v="1.1200000000000001"/>
    <n v="3.400000000000003E-2"/>
    <x v="0"/>
    <n v="2.9464285714285714E-2"/>
  </r>
  <r>
    <n v="311613"/>
    <s v="31161A"/>
    <x v="153"/>
    <n v="1.0860000000000001"/>
    <n v="3.3000000000000002E-2"/>
    <n v="1.1200000000000001"/>
    <n v="3.400000000000003E-2"/>
    <x v="0"/>
    <n v="2.9464285714285714E-2"/>
  </r>
  <r>
    <n v="311615"/>
    <n v="311615"/>
    <x v="154"/>
    <n v="0.36099999999999999"/>
    <n v="3.1E-2"/>
    <n v="0.39100000000000001"/>
    <n v="3.0000000000000027E-2"/>
    <x v="0"/>
    <n v="7.9283887468030681E-2"/>
  </r>
  <r>
    <n v="311710"/>
    <n v="311700"/>
    <x v="155"/>
    <n v="0.23899999999999999"/>
    <n v="2.7E-2"/>
    <n v="0.26600000000000001"/>
    <n v="2.7000000000000024E-2"/>
    <x v="1"/>
    <n v="0.10150375939849623"/>
  </r>
  <r>
    <n v="311811"/>
    <n v="311810"/>
    <x v="156"/>
    <n v="0.21299999999999999"/>
    <n v="0.04"/>
    <n v="0.253"/>
    <n v="4.0000000000000008E-2"/>
    <x v="1"/>
    <n v="0.15810276679841898"/>
  </r>
  <r>
    <n v="311812"/>
    <n v="311810"/>
    <x v="157"/>
    <n v="0.21299999999999999"/>
    <n v="0.04"/>
    <n v="0.253"/>
    <n v="4.0000000000000008E-2"/>
    <x v="1"/>
    <n v="0.15810276679841898"/>
  </r>
  <r>
    <n v="311813"/>
    <n v="311810"/>
    <x v="158"/>
    <n v="0.21299999999999999"/>
    <n v="0.04"/>
    <n v="0.253"/>
    <n v="4.0000000000000008E-2"/>
    <x v="1"/>
    <n v="0.15810276679841898"/>
  </r>
  <r>
    <n v="311821"/>
    <s v="3118A0"/>
    <x v="159"/>
    <n v="0.31"/>
    <n v="4.7E-2"/>
    <n v="0.35599999999999998"/>
    <n v="4.5999999999999985E-2"/>
    <x v="1"/>
    <n v="0.13202247191011238"/>
  </r>
  <r>
    <n v="311824"/>
    <s v="3118A0"/>
    <x v="160"/>
    <n v="0.31"/>
    <n v="4.7E-2"/>
    <n v="0.35599999999999998"/>
    <n v="4.5999999999999985E-2"/>
    <x v="1"/>
    <n v="0.13202247191011238"/>
  </r>
  <r>
    <n v="311830"/>
    <s v="3118A0"/>
    <x v="161"/>
    <n v="0.31"/>
    <n v="4.7E-2"/>
    <n v="0.35599999999999998"/>
    <n v="4.5999999999999985E-2"/>
    <x v="1"/>
    <n v="0.13202247191011238"/>
  </r>
  <r>
    <n v="311911"/>
    <n v="311910"/>
    <x v="162"/>
    <n v="0.32900000000000001"/>
    <n v="4.3999999999999997E-2"/>
    <n v="0.372"/>
    <n v="4.2999999999999983E-2"/>
    <x v="1"/>
    <n v="0.11827956989247311"/>
  </r>
  <r>
    <n v="311919"/>
    <n v="311910"/>
    <x v="163"/>
    <n v="0.32900000000000001"/>
    <n v="4.3999999999999997E-2"/>
    <n v="0.372"/>
    <n v="4.2999999999999983E-2"/>
    <x v="1"/>
    <n v="0.11827956989247311"/>
  </r>
  <r>
    <n v="311920"/>
    <n v="311920"/>
    <x v="164"/>
    <n v="0.313"/>
    <n v="0.04"/>
    <n v="0.35299999999999998"/>
    <n v="3.999999999999998E-2"/>
    <x v="1"/>
    <n v="0.11331444759206799"/>
  </r>
  <r>
    <n v="311930"/>
    <n v="311930"/>
    <x v="165"/>
    <n v="0.19500000000000001"/>
    <n v="2.1000000000000001E-2"/>
    <n v="0.216"/>
    <n v="2.0999999999999991E-2"/>
    <x v="1"/>
    <n v="9.7222222222222224E-2"/>
  </r>
  <r>
    <n v="311941"/>
    <n v="311940"/>
    <x v="166"/>
    <n v="0.30299999999999999"/>
    <n v="0.04"/>
    <n v="0.34399999999999997"/>
    <n v="4.0999999999999981E-2"/>
    <x v="1"/>
    <n v="0.11627906976744187"/>
  </r>
  <r>
    <n v="311942"/>
    <n v="311940"/>
    <x v="167"/>
    <n v="0.30299999999999999"/>
    <n v="0.04"/>
    <n v="0.34399999999999997"/>
    <n v="4.0999999999999981E-2"/>
    <x v="1"/>
    <n v="0.11627906976744187"/>
  </r>
  <r>
    <n v="311991"/>
    <n v="311990"/>
    <x v="168"/>
    <n v="0.35799999999999998"/>
    <n v="4.2000000000000003E-2"/>
    <n v="0.40100000000000002"/>
    <n v="4.3000000000000038E-2"/>
    <x v="1"/>
    <n v="0.10473815461346633"/>
  </r>
  <r>
    <n v="311999"/>
    <n v="311990"/>
    <x v="169"/>
    <n v="0.35799999999999998"/>
    <n v="4.2000000000000003E-2"/>
    <n v="0.40100000000000002"/>
    <n v="4.3000000000000038E-2"/>
    <x v="1"/>
    <n v="0.10473815461346633"/>
  </r>
  <r>
    <n v="312111"/>
    <n v="312110"/>
    <x v="170"/>
    <n v="0.17299999999999999"/>
    <n v="4.2000000000000003E-2"/>
    <n v="0.214"/>
    <n v="4.1000000000000009E-2"/>
    <x v="1"/>
    <n v="0.19626168224299068"/>
  </r>
  <r>
    <n v="312112"/>
    <n v="312110"/>
    <x v="171"/>
    <n v="0.17299999999999999"/>
    <n v="4.2000000000000003E-2"/>
    <n v="0.214"/>
    <n v="4.1000000000000009E-2"/>
    <x v="1"/>
    <n v="0.19626168224299068"/>
  </r>
  <r>
    <n v="312113"/>
    <n v="312110"/>
    <x v="172"/>
    <n v="0.17299999999999999"/>
    <n v="4.2000000000000003E-2"/>
    <n v="0.214"/>
    <n v="4.1000000000000009E-2"/>
    <x v="1"/>
    <n v="0.19626168224299068"/>
  </r>
  <r>
    <n v="312120"/>
    <n v="312120"/>
    <x v="173"/>
    <n v="0.20899999999999999"/>
    <n v="6.6000000000000003E-2"/>
    <n v="0.27400000000000002"/>
    <n v="6.500000000000003E-2"/>
    <x v="1"/>
    <n v="0.24087591240875911"/>
  </r>
  <r>
    <n v="312130"/>
    <n v="312130"/>
    <x v="174"/>
    <n v="0.123"/>
    <n v="5.8999999999999997E-2"/>
    <n v="0.182"/>
    <n v="5.8999999999999997E-2"/>
    <x v="1"/>
    <n v="0.32417582417582419"/>
  </r>
  <r>
    <n v="312140"/>
    <n v="312140"/>
    <x v="175"/>
    <n v="0.24199999999999999"/>
    <n v="6.2E-2"/>
    <n v="0.30499999999999999"/>
    <n v="6.3E-2"/>
    <x v="1"/>
    <n v="0.20327868852459016"/>
  </r>
  <r>
    <n v="312230"/>
    <n v="312200"/>
    <x v="176"/>
    <n v="5.5E-2"/>
    <n v="4.5999999999999999E-2"/>
    <n v="0.10100000000000001"/>
    <n v="4.6000000000000006E-2"/>
    <x v="1"/>
    <n v="0.45544554455445541"/>
  </r>
  <r>
    <n v="313110"/>
    <n v="313100"/>
    <x v="177"/>
    <n v="0.63600000000000001"/>
    <n v="2.3E-2"/>
    <n v="0.65900000000000003"/>
    <n v="2.300000000000002E-2"/>
    <x v="1"/>
    <n v="3.4901365705614563E-2"/>
  </r>
  <r>
    <n v="313210"/>
    <n v="313200"/>
    <x v="178"/>
    <n v="0.48"/>
    <n v="2.7E-2"/>
    <n v="0.50700000000000001"/>
    <n v="2.7000000000000024E-2"/>
    <x v="0"/>
    <n v="5.3254437869822487E-2"/>
  </r>
  <r>
    <n v="313220"/>
    <n v="313200"/>
    <x v="179"/>
    <n v="0.48"/>
    <n v="2.7E-2"/>
    <n v="0.50700000000000001"/>
    <n v="2.7000000000000024E-2"/>
    <x v="0"/>
    <n v="5.3254437869822487E-2"/>
  </r>
  <r>
    <n v="313230"/>
    <n v="313200"/>
    <x v="180"/>
    <n v="0.48"/>
    <n v="2.7E-2"/>
    <n v="0.50700000000000001"/>
    <n v="2.7000000000000024E-2"/>
    <x v="0"/>
    <n v="5.3254437869822487E-2"/>
  </r>
  <r>
    <n v="313240"/>
    <n v="313200"/>
    <x v="181"/>
    <n v="0.48"/>
    <n v="2.7E-2"/>
    <n v="0.50700000000000001"/>
    <n v="2.7000000000000024E-2"/>
    <x v="0"/>
    <n v="5.3254437869822487E-2"/>
  </r>
  <r>
    <n v="313310"/>
    <n v="313300"/>
    <x v="182"/>
    <n v="0.37"/>
    <n v="2.5999999999999999E-2"/>
    <n v="0.39600000000000002"/>
    <n v="2.6000000000000023E-2"/>
    <x v="0"/>
    <n v="6.5656565656565649E-2"/>
  </r>
  <r>
    <n v="313320"/>
    <n v="313300"/>
    <x v="183"/>
    <n v="0.37"/>
    <n v="2.5999999999999999E-2"/>
    <n v="0.39600000000000002"/>
    <n v="2.6000000000000023E-2"/>
    <x v="1"/>
    <n v="6.5656565656565649E-2"/>
  </r>
  <r>
    <n v="314110"/>
    <n v="314110"/>
    <x v="184"/>
    <n v="0.224"/>
    <n v="6.8000000000000005E-2"/>
    <n v="0.29199999999999998"/>
    <n v="6.7999999999999977E-2"/>
    <x v="1"/>
    <n v="0.23287671232876717"/>
  </r>
  <r>
    <n v="314120"/>
    <n v="314120"/>
    <x v="185"/>
    <n v="0.20599999999999999"/>
    <n v="6.0999999999999999E-2"/>
    <n v="0.26700000000000002"/>
    <n v="6.1000000000000026E-2"/>
    <x v="1"/>
    <n v="0.22846441947565541"/>
  </r>
  <r>
    <n v="314910"/>
    <n v="314900"/>
    <x v="186"/>
    <n v="0.19700000000000001"/>
    <n v="4.5999999999999999E-2"/>
    <n v="0.24299999999999999"/>
    <n v="4.5999999999999985E-2"/>
    <x v="1"/>
    <n v="0.18930041152263374"/>
  </r>
  <r>
    <n v="314994"/>
    <n v="314900"/>
    <x v="187"/>
    <n v="0.19700000000000001"/>
    <n v="4.5999999999999999E-2"/>
    <n v="0.24299999999999999"/>
    <n v="4.5999999999999985E-2"/>
    <x v="1"/>
    <n v="0.18930041152263374"/>
  </r>
  <r>
    <n v="314999"/>
    <n v="314900"/>
    <x v="188"/>
    <n v="0.19700000000000001"/>
    <n v="4.5999999999999999E-2"/>
    <n v="0.24299999999999999"/>
    <n v="4.5999999999999985E-2"/>
    <x v="1"/>
    <n v="0.18930041152263374"/>
  </r>
  <r>
    <n v="315110"/>
    <n v="315000"/>
    <x v="189"/>
    <n v="0.06"/>
    <n v="0.06"/>
    <n v="0.12"/>
    <n v="0.06"/>
    <x v="1"/>
    <n v="0.5"/>
  </r>
  <r>
    <n v="315190"/>
    <n v="315000"/>
    <x v="190"/>
    <n v="0.06"/>
    <n v="0.06"/>
    <n v="0.12"/>
    <n v="0.06"/>
    <x v="1"/>
    <n v="0.5"/>
  </r>
  <r>
    <n v="315210"/>
    <n v="315000"/>
    <x v="191"/>
    <n v="0.06"/>
    <n v="0.06"/>
    <n v="0.12"/>
    <n v="0.06"/>
    <x v="1"/>
    <n v="0.5"/>
  </r>
  <r>
    <n v="315220"/>
    <n v="315000"/>
    <x v="192"/>
    <n v="0.06"/>
    <n v="0.06"/>
    <n v="0.12"/>
    <n v="0.06"/>
    <x v="1"/>
    <n v="0.5"/>
  </r>
  <r>
    <n v="315240"/>
    <n v="315000"/>
    <x v="193"/>
    <n v="0.06"/>
    <n v="0.06"/>
    <n v="0.12"/>
    <n v="0.06"/>
    <x v="1"/>
    <n v="0.5"/>
  </r>
  <r>
    <n v="315280"/>
    <n v="315000"/>
    <x v="194"/>
    <n v="0.06"/>
    <n v="0.06"/>
    <n v="0.12"/>
    <n v="0.06"/>
    <x v="1"/>
    <n v="0.5"/>
  </r>
  <r>
    <n v="315990"/>
    <n v="315000"/>
    <x v="195"/>
    <n v="0.06"/>
    <n v="0.06"/>
    <n v="0.12"/>
    <n v="0.06"/>
    <x v="1"/>
    <n v="0.5"/>
  </r>
  <r>
    <n v="316110"/>
    <n v="316000"/>
    <x v="196"/>
    <n v="0.222"/>
    <n v="0.06"/>
    <n v="0.28199999999999997"/>
    <n v="5.999999999999997E-2"/>
    <x v="1"/>
    <n v="0.21276595744680851"/>
  </r>
  <r>
    <n v="316210"/>
    <n v="316000"/>
    <x v="197"/>
    <n v="0.222"/>
    <n v="0.06"/>
    <n v="0.28199999999999997"/>
    <n v="5.999999999999997E-2"/>
    <x v="1"/>
    <n v="0.21276595744680851"/>
  </r>
  <r>
    <n v="316992"/>
    <n v="316000"/>
    <x v="198"/>
    <n v="0.222"/>
    <n v="0.06"/>
    <n v="0.28199999999999997"/>
    <n v="5.999999999999997E-2"/>
    <x v="1"/>
    <n v="0.21276595744680851"/>
  </r>
  <r>
    <n v="316998"/>
    <n v="316000"/>
    <x v="199"/>
    <n v="0.222"/>
    <n v="0.06"/>
    <n v="0.28199999999999997"/>
    <n v="5.999999999999997E-2"/>
    <x v="1"/>
    <n v="0.21276595744680851"/>
  </r>
  <r>
    <n v="321113"/>
    <n v="321100"/>
    <x v="200"/>
    <n v="0.22700000000000001"/>
    <n v="3.6999999999999998E-2"/>
    <n v="0.26400000000000001"/>
    <n v="3.7000000000000005E-2"/>
    <x v="1"/>
    <n v="0.14015151515151514"/>
  </r>
  <r>
    <n v="321114"/>
    <n v="321100"/>
    <x v="201"/>
    <n v="0.22700000000000001"/>
    <n v="3.6999999999999998E-2"/>
    <n v="0.26400000000000001"/>
    <n v="3.7000000000000005E-2"/>
    <x v="1"/>
    <n v="0.14015151515151514"/>
  </r>
  <r>
    <n v="321211"/>
    <n v="321200"/>
    <x v="202"/>
    <n v="0.187"/>
    <n v="2.1000000000000001E-2"/>
    <n v="0.20799999999999999"/>
    <n v="2.0999999999999991E-2"/>
    <x v="1"/>
    <n v="0.10096153846153848"/>
  </r>
  <r>
    <n v="321212"/>
    <n v="321200"/>
    <x v="203"/>
    <n v="0.187"/>
    <n v="2.1000000000000001E-2"/>
    <n v="0.20799999999999999"/>
    <n v="2.0999999999999991E-2"/>
    <x v="1"/>
    <n v="0.10096153846153848"/>
  </r>
  <r>
    <n v="321213"/>
    <n v="321200"/>
    <x v="204"/>
    <n v="0.187"/>
    <n v="2.1000000000000001E-2"/>
    <n v="0.20799999999999999"/>
    <n v="2.0999999999999991E-2"/>
    <x v="1"/>
    <n v="0.10096153846153848"/>
  </r>
  <r>
    <n v="321214"/>
    <n v="321200"/>
    <x v="205"/>
    <n v="0.187"/>
    <n v="2.1000000000000001E-2"/>
    <n v="0.20799999999999999"/>
    <n v="2.0999999999999991E-2"/>
    <x v="1"/>
    <n v="0.10096153846153848"/>
  </r>
  <r>
    <n v="321219"/>
    <n v="321200"/>
    <x v="206"/>
    <n v="0.187"/>
    <n v="2.1000000000000001E-2"/>
    <n v="0.20799999999999999"/>
    <n v="2.0999999999999991E-2"/>
    <x v="1"/>
    <n v="0.10096153846153848"/>
  </r>
  <r>
    <n v="321911"/>
    <n v="321910"/>
    <x v="207"/>
    <n v="0.122"/>
    <n v="3.1E-2"/>
    <n v="0.154"/>
    <n v="3.2000000000000001E-2"/>
    <x v="1"/>
    <n v="0.20129870129870131"/>
  </r>
  <r>
    <n v="321912"/>
    <n v="321910"/>
    <x v="208"/>
    <n v="0.122"/>
    <n v="3.1E-2"/>
    <n v="0.154"/>
    <n v="3.2000000000000001E-2"/>
    <x v="1"/>
    <n v="0.20129870129870131"/>
  </r>
  <r>
    <n v="321918"/>
    <n v="321910"/>
    <x v="209"/>
    <n v="0.122"/>
    <n v="3.1E-2"/>
    <n v="0.154"/>
    <n v="3.2000000000000001E-2"/>
    <x v="1"/>
    <n v="0.20129870129870131"/>
  </r>
  <r>
    <n v="321920"/>
    <s v="3219A0"/>
    <x v="210"/>
    <n v="0.13500000000000001"/>
    <n v="2.9000000000000001E-2"/>
    <n v="0.16400000000000001"/>
    <n v="2.8999999999999998E-2"/>
    <x v="1"/>
    <n v="0.17682926829268292"/>
  </r>
  <r>
    <n v="321991"/>
    <s v="3219A0"/>
    <x v="211"/>
    <n v="0.13500000000000001"/>
    <n v="2.9000000000000001E-2"/>
    <n v="0.16400000000000001"/>
    <n v="2.8999999999999998E-2"/>
    <x v="1"/>
    <n v="0.17682926829268292"/>
  </r>
  <r>
    <n v="321992"/>
    <s v="3219A0"/>
    <x v="212"/>
    <n v="0.13500000000000001"/>
    <n v="2.9000000000000001E-2"/>
    <n v="0.16400000000000001"/>
    <n v="2.8999999999999998E-2"/>
    <x v="1"/>
    <n v="0.17682926829268292"/>
  </r>
  <r>
    <n v="321999"/>
    <s v="3219A0"/>
    <x v="213"/>
    <n v="0.13500000000000001"/>
    <n v="2.9000000000000001E-2"/>
    <n v="0.16400000000000001"/>
    <n v="2.8999999999999998E-2"/>
    <x v="1"/>
    <n v="0.17682926829268292"/>
  </r>
  <r>
    <n v="322110"/>
    <n v="322110"/>
    <x v="214"/>
    <n v="0.97699999999999998"/>
    <n v="2.5000000000000001E-2"/>
    <n v="1.002"/>
    <n v="2.5000000000000022E-2"/>
    <x v="1"/>
    <n v="2.4950099800399202E-2"/>
  </r>
  <r>
    <n v="322121"/>
    <n v="322120"/>
    <x v="215"/>
    <n v="0.60299999999999998"/>
    <n v="4.7E-2"/>
    <n v="0.64900000000000002"/>
    <n v="4.6000000000000041E-2"/>
    <x v="0"/>
    <n v="7.24191063174114E-2"/>
  </r>
  <r>
    <n v="322122"/>
    <n v="322120"/>
    <x v="216"/>
    <n v="0.60299999999999998"/>
    <n v="4.7E-2"/>
    <n v="0.64900000000000002"/>
    <n v="4.6000000000000041E-2"/>
    <x v="0"/>
    <n v="7.24191063174114E-2"/>
  </r>
  <r>
    <n v="322130"/>
    <n v="322130"/>
    <x v="217"/>
    <n v="0.78900000000000003"/>
    <n v="0.04"/>
    <n v="0.82899999999999996"/>
    <n v="3.9999999999999925E-2"/>
    <x v="0"/>
    <n v="4.8250904704463214E-2"/>
  </r>
  <r>
    <n v="322211"/>
    <n v="322210"/>
    <x v="218"/>
    <n v="0.44900000000000001"/>
    <n v="0.03"/>
    <n v="0.47899999999999998"/>
    <n v="2.9999999999999971E-2"/>
    <x v="0"/>
    <n v="6.2630480167014613E-2"/>
  </r>
  <r>
    <n v="322212"/>
    <n v="322210"/>
    <x v="219"/>
    <n v="0.44900000000000001"/>
    <n v="0.03"/>
    <n v="0.47899999999999998"/>
    <n v="2.9999999999999971E-2"/>
    <x v="1"/>
    <n v="6.2630480167014613E-2"/>
  </r>
  <r>
    <n v="322219"/>
    <n v="322210"/>
    <x v="220"/>
    <n v="0.44900000000000001"/>
    <n v="0.03"/>
    <n v="0.47899999999999998"/>
    <n v="2.9999999999999971E-2"/>
    <x v="1"/>
    <n v="6.2630480167014613E-2"/>
  </r>
  <r>
    <n v="322220"/>
    <n v="322220"/>
    <x v="221"/>
    <n v="0.33"/>
    <n v="3.4000000000000002E-2"/>
    <n v="0.36399999999999999"/>
    <n v="3.3999999999999975E-2"/>
    <x v="1"/>
    <n v="9.3406593406593422E-2"/>
  </r>
  <r>
    <n v="322230"/>
    <n v="322230"/>
    <x v="222"/>
    <n v="0.26500000000000001"/>
    <n v="3.1E-2"/>
    <n v="0.29599999999999999"/>
    <n v="3.0999999999999972E-2"/>
    <x v="1"/>
    <n v="0.10472972972972973"/>
  </r>
  <r>
    <n v="322291"/>
    <n v="322291"/>
    <x v="223"/>
    <n v="0.27500000000000002"/>
    <n v="6.5000000000000002E-2"/>
    <n v="0.34"/>
    <n v="6.5000000000000002E-2"/>
    <x v="1"/>
    <n v="0.19117647058823528"/>
  </r>
  <r>
    <n v="322299"/>
    <n v="322299"/>
    <x v="224"/>
    <n v="0.30499999999999999"/>
    <n v="3.7999999999999999E-2"/>
    <n v="0.34300000000000003"/>
    <n v="3.8000000000000034E-2"/>
    <x v="1"/>
    <n v="0.1107871720116618"/>
  </r>
  <r>
    <n v="323111"/>
    <n v="323110"/>
    <x v="225"/>
    <n v="0.20200000000000001"/>
    <n v="3.4000000000000002E-2"/>
    <n v="0.23599999999999999"/>
    <n v="3.3999999999999975E-2"/>
    <x v="1"/>
    <n v="0.1440677966101695"/>
  </r>
  <r>
    <n v="323113"/>
    <n v="323110"/>
    <x v="226"/>
    <n v="0.20200000000000001"/>
    <n v="3.4000000000000002E-2"/>
    <n v="0.23599999999999999"/>
    <n v="3.3999999999999975E-2"/>
    <x v="1"/>
    <n v="0.1440677966101695"/>
  </r>
  <r>
    <n v="323117"/>
    <n v="323110"/>
    <x v="227"/>
    <n v="0.20200000000000001"/>
    <n v="3.4000000000000002E-2"/>
    <n v="0.23599999999999999"/>
    <n v="3.3999999999999975E-2"/>
    <x v="1"/>
    <n v="0.1440677966101695"/>
  </r>
  <r>
    <n v="323120"/>
    <n v="323120"/>
    <x v="228"/>
    <n v="0.214"/>
    <n v="2.3E-2"/>
    <n v="0.23699999999999999"/>
    <n v="2.2999999999999993E-2"/>
    <x v="1"/>
    <n v="9.7046413502109713E-2"/>
  </r>
  <r>
    <n v="324110"/>
    <n v="324110"/>
    <x v="229"/>
    <n v="0.248"/>
    <n v="2.1999999999999999E-2"/>
    <n v="0.27"/>
    <n v="2.200000000000002E-2"/>
    <x v="1"/>
    <n v="8.1481481481481474E-2"/>
  </r>
  <r>
    <n v="324121"/>
    <n v="324121"/>
    <x v="230"/>
    <n v="1.093"/>
    <n v="2.8000000000000001E-2"/>
    <n v="1.121"/>
    <n v="2.8000000000000025E-2"/>
    <x v="1"/>
    <n v="2.4977698483496878E-2"/>
  </r>
  <r>
    <n v="324122"/>
    <n v="324122"/>
    <x v="231"/>
    <n v="0.57599999999999996"/>
    <n v="3.2000000000000001E-2"/>
    <n v="0.60799999999999998"/>
    <n v="3.2000000000000028E-2"/>
    <x v="0"/>
    <n v="5.2631578947368425E-2"/>
  </r>
  <r>
    <n v="324191"/>
    <n v="324190"/>
    <x v="232"/>
    <n v="0.35899999999999999"/>
    <n v="3.2000000000000001E-2"/>
    <n v="0.39100000000000001"/>
    <n v="3.2000000000000028E-2"/>
    <x v="0"/>
    <n v="8.1841432225063931E-2"/>
  </r>
  <r>
    <n v="324199"/>
    <n v="324190"/>
    <x v="233"/>
    <n v="0.35899999999999999"/>
    <n v="3.2000000000000001E-2"/>
    <n v="0.39100000000000001"/>
    <n v="3.2000000000000028E-2"/>
    <x v="1"/>
    <n v="8.1841432225063931E-2"/>
  </r>
  <r>
    <n v="325110"/>
    <n v="325110"/>
    <x v="234"/>
    <n v="0.79400000000000004"/>
    <n v="1.6E-2"/>
    <n v="0.81100000000000005"/>
    <n v="1.7000000000000015E-2"/>
    <x v="1"/>
    <n v="1.9728729963008632E-2"/>
  </r>
  <r>
    <n v="325120"/>
    <n v="325120"/>
    <x v="235"/>
    <n v="1.163"/>
    <n v="4.8000000000000001E-2"/>
    <n v="1.2110000000000001"/>
    <n v="4.8000000000000043E-2"/>
    <x v="0"/>
    <n v="3.963666391412056E-2"/>
  </r>
  <r>
    <n v="325130"/>
    <n v="325130"/>
    <x v="236"/>
    <n v="0.40600000000000003"/>
    <n v="2.7E-2"/>
    <n v="0.432"/>
    <n v="2.5999999999999968E-2"/>
    <x v="0"/>
    <n v="6.25E-2"/>
  </r>
  <r>
    <n v="325180"/>
    <n v="325180"/>
    <x v="237"/>
    <n v="0.97399999999999998"/>
    <n v="3.5999999999999997E-2"/>
    <n v="1.01"/>
    <n v="3.6000000000000032E-2"/>
    <x v="1"/>
    <n v="3.5643564356435641E-2"/>
  </r>
  <r>
    <n v="325193"/>
    <n v="325190"/>
    <x v="238"/>
    <n v="1.1659999999999999"/>
    <n v="1.7999999999999999E-2"/>
    <n v="1.1839999999999999"/>
    <n v="1.8000000000000016E-2"/>
    <x v="0"/>
    <n v="1.5202702702702702E-2"/>
  </r>
  <r>
    <n v="325194"/>
    <n v="325190"/>
    <x v="239"/>
    <n v="1.1659999999999999"/>
    <n v="1.7999999999999999E-2"/>
    <n v="1.1839999999999999"/>
    <n v="1.8000000000000016E-2"/>
    <x v="0"/>
    <n v="1.5202702702702702E-2"/>
  </r>
  <r>
    <n v="325199"/>
    <n v="325190"/>
    <x v="240"/>
    <n v="1.1659999999999999"/>
    <n v="1.7999999999999999E-2"/>
    <n v="1.1839999999999999"/>
    <n v="1.8000000000000016E-2"/>
    <x v="0"/>
    <n v="1.5202702702702702E-2"/>
  </r>
  <r>
    <n v="325211"/>
    <n v="325211"/>
    <x v="241"/>
    <n v="1.022"/>
    <n v="2.4E-2"/>
    <n v="1.0449999999999999"/>
    <n v="2.2999999999999909E-2"/>
    <x v="0"/>
    <n v="2.2966507177033496E-2"/>
  </r>
  <r>
    <n v="325212"/>
    <s v="3252A0"/>
    <x v="242"/>
    <n v="0.88600000000000001"/>
    <n v="1.6E-2"/>
    <n v="0.90200000000000002"/>
    <n v="1.6000000000000014E-2"/>
    <x v="0"/>
    <n v="1.7738359201773836E-2"/>
  </r>
  <r>
    <n v="325220"/>
    <s v="3252A0"/>
    <x v="243"/>
    <n v="0.88600000000000001"/>
    <n v="1.6E-2"/>
    <n v="0.90200000000000002"/>
    <n v="1.6000000000000014E-2"/>
    <x v="0"/>
    <n v="1.7738359201773836E-2"/>
  </r>
  <r>
    <n v="325311"/>
    <n v="325310"/>
    <x v="244"/>
    <n v="1.1140000000000001"/>
    <n v="2.3E-2"/>
    <n v="1.137"/>
    <n v="2.2999999999999909E-2"/>
    <x v="0"/>
    <n v="2.0228671943711522E-2"/>
  </r>
  <r>
    <n v="325312"/>
    <n v="325310"/>
    <x v="245"/>
    <n v="1.1140000000000001"/>
    <n v="2.3E-2"/>
    <n v="1.137"/>
    <n v="2.2999999999999909E-2"/>
    <x v="0"/>
    <n v="2.0228671943711522E-2"/>
  </r>
  <r>
    <n v="325314"/>
    <n v="325310"/>
    <x v="246"/>
    <n v="1.1140000000000001"/>
    <n v="2.3E-2"/>
    <n v="1.137"/>
    <n v="2.2999999999999909E-2"/>
    <x v="0"/>
    <n v="2.0228671943711522E-2"/>
  </r>
  <r>
    <n v="325320"/>
    <n v="325320"/>
    <x v="247"/>
    <n v="0.433"/>
    <n v="3.1E-2"/>
    <n v="0.46300000000000002"/>
    <n v="3.0000000000000027E-2"/>
    <x v="0"/>
    <n v="6.6954643628509711E-2"/>
  </r>
  <r>
    <n v="325411"/>
    <n v="325411"/>
    <x v="248"/>
    <n v="0.151"/>
    <n v="3.6999999999999998E-2"/>
    <n v="0.189"/>
    <n v="3.8000000000000006E-2"/>
    <x v="1"/>
    <n v="0.19576719576719576"/>
  </r>
  <r>
    <n v="325412"/>
    <n v="325412"/>
    <x v="249"/>
    <n v="4.4999999999999998E-2"/>
    <n v="5.2999999999999999E-2"/>
    <n v="9.9000000000000005E-2"/>
    <n v="5.4000000000000006E-2"/>
    <x v="1"/>
    <n v="0.53535353535353536"/>
  </r>
  <r>
    <n v="325413"/>
    <n v="325413"/>
    <x v="250"/>
    <n v="0.161"/>
    <n v="2.1999999999999999E-2"/>
    <n v="0.183"/>
    <n v="2.1999999999999992E-2"/>
    <x v="1"/>
    <n v="0.12021857923497267"/>
  </r>
  <r>
    <n v="325414"/>
    <n v="325414"/>
    <x v="251"/>
    <n v="0.126"/>
    <n v="2.5000000000000001E-2"/>
    <n v="0.15"/>
    <n v="2.3999999999999994E-2"/>
    <x v="1"/>
    <n v="0.16666666666666669"/>
  </r>
  <r>
    <n v="325510"/>
    <n v="325510"/>
    <x v="252"/>
    <n v="0.26400000000000001"/>
    <n v="2.7E-2"/>
    <n v="0.29099999999999998"/>
    <n v="2.6999999999999968E-2"/>
    <x v="1"/>
    <n v="9.2783505154639179E-2"/>
  </r>
  <r>
    <n v="325520"/>
    <n v="325520"/>
    <x v="253"/>
    <n v="0.502"/>
    <n v="2.9000000000000001E-2"/>
    <n v="0.53100000000000003"/>
    <n v="2.9000000000000026E-2"/>
    <x v="1"/>
    <n v="5.4613935969868174E-2"/>
  </r>
  <r>
    <n v="325611"/>
    <n v="325610"/>
    <x v="254"/>
    <n v="0.315"/>
    <n v="0.04"/>
    <n v="0.35499999999999998"/>
    <n v="3.999999999999998E-2"/>
    <x v="0"/>
    <n v="0.11267605633802817"/>
  </r>
  <r>
    <n v="325612"/>
    <n v="325610"/>
    <x v="255"/>
    <n v="0.315"/>
    <n v="0.04"/>
    <n v="0.35499999999999998"/>
    <n v="3.999999999999998E-2"/>
    <x v="1"/>
    <n v="0.11267605633802817"/>
  </r>
  <r>
    <n v="325613"/>
    <n v="325610"/>
    <x v="256"/>
    <n v="0.315"/>
    <n v="0.04"/>
    <n v="0.35499999999999998"/>
    <n v="3.999999999999998E-2"/>
    <x v="1"/>
    <n v="0.11267605633802817"/>
  </r>
  <r>
    <n v="325620"/>
    <n v="325620"/>
    <x v="257"/>
    <n v="0.13600000000000001"/>
    <n v="5.8000000000000003E-2"/>
    <n v="0.19400000000000001"/>
    <n v="5.7999999999999996E-2"/>
    <x v="1"/>
    <n v="0.29896907216494845"/>
  </r>
  <r>
    <n v="325910"/>
    <n v="325910"/>
    <x v="258"/>
    <n v="0.35499999999999998"/>
    <n v="3.1E-2"/>
    <n v="0.38600000000000001"/>
    <n v="3.1000000000000028E-2"/>
    <x v="1"/>
    <n v="8.0310880829015538E-2"/>
  </r>
  <r>
    <n v="325920"/>
    <s v="3259A0"/>
    <x v="259"/>
    <n v="0.47199999999999998"/>
    <n v="2.8000000000000001E-2"/>
    <n v="0.5"/>
    <n v="2.8000000000000025E-2"/>
    <x v="1"/>
    <n v="5.6000000000000001E-2"/>
  </r>
  <r>
    <n v="325991"/>
    <s v="3259A0"/>
    <x v="260"/>
    <n v="0.47199999999999998"/>
    <n v="2.8000000000000001E-2"/>
    <n v="0.5"/>
    <n v="2.8000000000000025E-2"/>
    <x v="0"/>
    <n v="5.6000000000000001E-2"/>
  </r>
  <r>
    <n v="325992"/>
    <s v="3259A0"/>
    <x v="261"/>
    <n v="0.47199999999999998"/>
    <n v="2.8000000000000001E-2"/>
    <n v="0.5"/>
    <n v="2.8000000000000025E-2"/>
    <x v="0"/>
    <n v="5.6000000000000001E-2"/>
  </r>
  <r>
    <n v="325998"/>
    <s v="3259A0"/>
    <x v="262"/>
    <n v="0.47199999999999998"/>
    <n v="2.8000000000000001E-2"/>
    <n v="0.5"/>
    <n v="2.8000000000000025E-2"/>
    <x v="0"/>
    <n v="5.6000000000000001E-2"/>
  </r>
  <r>
    <n v="326111"/>
    <n v="326110"/>
    <x v="263"/>
    <n v="0.52100000000000002"/>
    <n v="2.3E-2"/>
    <n v="0.54400000000000004"/>
    <n v="2.300000000000002E-2"/>
    <x v="0"/>
    <n v="4.2279411764705878E-2"/>
  </r>
  <r>
    <n v="326112"/>
    <n v="326110"/>
    <x v="264"/>
    <n v="0.52100000000000002"/>
    <n v="2.3E-2"/>
    <n v="0.54400000000000004"/>
    <n v="2.300000000000002E-2"/>
    <x v="0"/>
    <n v="4.2279411764705878E-2"/>
  </r>
  <r>
    <n v="326113"/>
    <n v="326110"/>
    <x v="265"/>
    <n v="0.52100000000000002"/>
    <n v="2.3E-2"/>
    <n v="0.54400000000000004"/>
    <n v="2.300000000000002E-2"/>
    <x v="0"/>
    <n v="4.2279411764705878E-2"/>
  </r>
  <r>
    <n v="326121"/>
    <n v="326120"/>
    <x v="266"/>
    <n v="0.33200000000000002"/>
    <n v="1.9E-2"/>
    <n v="0.35099999999999998"/>
    <n v="1.8999999999999961E-2"/>
    <x v="0"/>
    <n v="5.4131054131054131E-2"/>
  </r>
  <r>
    <n v="326122"/>
    <n v="326120"/>
    <x v="267"/>
    <n v="0.33200000000000002"/>
    <n v="1.9E-2"/>
    <n v="0.35099999999999998"/>
    <n v="1.8999999999999961E-2"/>
    <x v="1"/>
    <n v="5.4131054131054131E-2"/>
  </r>
  <r>
    <n v="326130"/>
    <n v="326130"/>
    <x v="268"/>
    <n v="0.441"/>
    <n v="1.9E-2"/>
    <n v="0.46"/>
    <n v="1.9000000000000017E-2"/>
    <x v="1"/>
    <n v="4.1304347826086954E-2"/>
  </r>
  <r>
    <n v="326140"/>
    <n v="326140"/>
    <x v="269"/>
    <n v="0.247"/>
    <n v="2.4E-2"/>
    <n v="0.27100000000000002"/>
    <n v="2.4000000000000021E-2"/>
    <x v="1"/>
    <n v="8.8560885608856083E-2"/>
  </r>
  <r>
    <n v="326150"/>
    <n v="326150"/>
    <x v="270"/>
    <n v="0.318"/>
    <n v="4.2000000000000003E-2"/>
    <n v="0.36"/>
    <n v="4.1999999999999982E-2"/>
    <x v="1"/>
    <n v="0.11666666666666668"/>
  </r>
  <r>
    <n v="326160"/>
    <n v="326160"/>
    <x v="271"/>
    <n v="0.55300000000000005"/>
    <n v="2.5000000000000001E-2"/>
    <n v="0.57899999999999996"/>
    <n v="2.5999999999999912E-2"/>
    <x v="1"/>
    <n v="4.3177892918825567E-2"/>
  </r>
  <r>
    <n v="326191"/>
    <n v="326190"/>
    <x v="272"/>
    <n v="0.34399999999999997"/>
    <n v="2.7E-2"/>
    <n v="0.371"/>
    <n v="2.7000000000000024E-2"/>
    <x v="0"/>
    <n v="7.277628032345014E-2"/>
  </r>
  <r>
    <n v="326199"/>
    <n v="326190"/>
    <x v="273"/>
    <n v="0.34399999999999997"/>
    <n v="2.7E-2"/>
    <n v="0.371"/>
    <n v="2.7000000000000024E-2"/>
    <x v="1"/>
    <n v="7.277628032345014E-2"/>
  </r>
  <r>
    <n v="326211"/>
    <n v="326210"/>
    <x v="274"/>
    <n v="0.23300000000000001"/>
    <n v="4.2999999999999997E-2"/>
    <n v="0.27600000000000002"/>
    <n v="4.300000000000001E-2"/>
    <x v="1"/>
    <n v="0.15579710144927533"/>
  </r>
  <r>
    <n v="326212"/>
    <n v="326210"/>
    <x v="275"/>
    <n v="0.23300000000000001"/>
    <n v="4.2999999999999997E-2"/>
    <n v="0.27600000000000002"/>
    <n v="4.300000000000001E-2"/>
    <x v="1"/>
    <n v="0.15579710144927533"/>
  </r>
  <r>
    <n v="326220"/>
    <n v="326220"/>
    <x v="276"/>
    <n v="0.28100000000000003"/>
    <n v="2.8000000000000001E-2"/>
    <n v="0.309"/>
    <n v="2.7999999999999969E-2"/>
    <x v="1"/>
    <n v="9.0614886731391592E-2"/>
  </r>
  <r>
    <n v="326291"/>
    <n v="326290"/>
    <x v="277"/>
    <n v="0.313"/>
    <n v="0.03"/>
    <n v="0.34300000000000003"/>
    <n v="3.0000000000000027E-2"/>
    <x v="1"/>
    <n v="8.7463556851311949E-2"/>
  </r>
  <r>
    <n v="326299"/>
    <n v="326290"/>
    <x v="278"/>
    <n v="0.313"/>
    <n v="0.03"/>
    <n v="0.34300000000000003"/>
    <n v="3.0000000000000027E-2"/>
    <x v="1"/>
    <n v="8.7463556851311949E-2"/>
  </r>
  <r>
    <n v="327110"/>
    <n v="327100"/>
    <x v="279"/>
    <n v="0.39900000000000002"/>
    <n v="5.1999999999999998E-2"/>
    <n v="0.45100000000000001"/>
    <n v="5.1999999999999991E-2"/>
    <x v="1"/>
    <n v="0.11529933481152993"/>
  </r>
  <r>
    <n v="327120"/>
    <n v="327100"/>
    <x v="280"/>
    <n v="0.39900000000000002"/>
    <n v="5.1999999999999998E-2"/>
    <n v="0.45100000000000001"/>
    <n v="5.1999999999999991E-2"/>
    <x v="1"/>
    <n v="0.11529933481152993"/>
  </r>
  <r>
    <n v="327211"/>
    <n v="327200"/>
    <x v="281"/>
    <n v="0.53700000000000003"/>
    <n v="0.06"/>
    <n v="0.59699999999999998"/>
    <n v="5.9999999999999942E-2"/>
    <x v="1"/>
    <n v="0.10050251256281408"/>
  </r>
  <r>
    <n v="327212"/>
    <n v="327200"/>
    <x v="282"/>
    <n v="0.53700000000000003"/>
    <n v="0.06"/>
    <n v="0.59699999999999998"/>
    <n v="5.9999999999999942E-2"/>
    <x v="0"/>
    <n v="0.10050251256281408"/>
  </r>
  <r>
    <n v="327213"/>
    <n v="327200"/>
    <x v="283"/>
    <n v="0.53700000000000003"/>
    <n v="0.06"/>
    <n v="0.59699999999999998"/>
    <n v="5.9999999999999942E-2"/>
    <x v="0"/>
    <n v="0.10050251256281408"/>
  </r>
  <r>
    <n v="327215"/>
    <n v="327200"/>
    <x v="284"/>
    <n v="0.53700000000000003"/>
    <n v="0.06"/>
    <n v="0.59699999999999998"/>
    <n v="5.9999999999999942E-2"/>
    <x v="0"/>
    <n v="0.10050251256281408"/>
  </r>
  <r>
    <n v="327310"/>
    <n v="327310"/>
    <x v="285"/>
    <n v="3.8460000000000001"/>
    <n v="7.8E-2"/>
    <n v="3.9239999999999999"/>
    <n v="7.7999999999999847E-2"/>
    <x v="0"/>
    <n v="1.9877675840978593E-2"/>
  </r>
  <r>
    <n v="327320"/>
    <n v="327320"/>
    <x v="286"/>
    <n v="0.54"/>
    <n v="6.7000000000000004E-2"/>
    <n v="0.60599999999999998"/>
    <n v="6.5999999999999948E-2"/>
    <x v="0"/>
    <n v="0.11056105610561057"/>
  </r>
  <r>
    <n v="327331"/>
    <n v="327330"/>
    <x v="287"/>
    <n v="0.26400000000000001"/>
    <n v="6.3E-2"/>
    <n v="0.32800000000000001"/>
    <n v="6.4000000000000001E-2"/>
    <x v="0"/>
    <n v="0.19207317073170732"/>
  </r>
  <r>
    <n v="327332"/>
    <n v="327330"/>
    <x v="288"/>
    <n v="0.26400000000000001"/>
    <n v="6.3E-2"/>
    <n v="0.32800000000000001"/>
    <n v="6.4000000000000001E-2"/>
    <x v="1"/>
    <n v="0.19207317073170732"/>
  </r>
  <r>
    <n v="327390"/>
    <n v="327390"/>
    <x v="289"/>
    <n v="0.26700000000000002"/>
    <n v="0.05"/>
    <n v="0.317"/>
    <n v="4.9999999999999989E-2"/>
    <x v="1"/>
    <n v="0.1577287066246057"/>
  </r>
  <r>
    <n v="327410"/>
    <n v="327400"/>
    <x v="290"/>
    <n v="1.56"/>
    <n v="6.3E-2"/>
    <n v="1.623"/>
    <n v="6.2999999999999945E-2"/>
    <x v="1"/>
    <n v="3.8817005545286505E-2"/>
  </r>
  <r>
    <n v="327420"/>
    <n v="327400"/>
    <x v="291"/>
    <n v="1.56"/>
    <n v="6.3E-2"/>
    <n v="1.623"/>
    <n v="6.2999999999999945E-2"/>
    <x v="0"/>
    <n v="3.8817005545286505E-2"/>
  </r>
  <r>
    <n v="327910"/>
    <n v="327910"/>
    <x v="292"/>
    <n v="0.13400000000000001"/>
    <n v="5.2999999999999999E-2"/>
    <n v="0.187"/>
    <n v="5.2999999999999992E-2"/>
    <x v="0"/>
    <n v="0.2834224598930481"/>
  </r>
  <r>
    <n v="327991"/>
    <n v="327991"/>
    <x v="293"/>
    <n v="0.14799999999999999"/>
    <n v="4.7E-2"/>
    <n v="0.19500000000000001"/>
    <n v="4.7000000000000014E-2"/>
    <x v="1"/>
    <n v="0.24102564102564103"/>
  </r>
  <r>
    <n v="327992"/>
    <n v="327992"/>
    <x v="294"/>
    <n v="0.375"/>
    <n v="0.121"/>
    <n v="0.497"/>
    <n v="0.122"/>
    <x v="1"/>
    <n v="0.24346076458752514"/>
  </r>
  <r>
    <n v="327993"/>
    <n v="327993"/>
    <x v="295"/>
    <n v="0.33900000000000002"/>
    <n v="5.2999999999999999E-2"/>
    <n v="0.39300000000000002"/>
    <n v="5.3999999999999992E-2"/>
    <x v="1"/>
    <n v="0.13486005089058523"/>
  </r>
  <r>
    <n v="327999"/>
    <n v="327999"/>
    <x v="296"/>
    <n v="0.71899999999999997"/>
    <n v="6.8000000000000005E-2"/>
    <n v="0.78700000000000003"/>
    <n v="6.800000000000006E-2"/>
    <x v="1"/>
    <n v="8.6404066073697591E-2"/>
  </r>
  <r>
    <n v="331110"/>
    <n v="331110"/>
    <x v="297"/>
    <n v="0.76900000000000002"/>
    <n v="1.7999999999999999E-2"/>
    <n v="0.78700000000000003"/>
    <n v="1.8000000000000016E-2"/>
    <x v="0"/>
    <n v="2.2871664548919948E-2"/>
  </r>
  <r>
    <n v="331210"/>
    <n v="331200"/>
    <x v="298"/>
    <n v="0.34300000000000003"/>
    <n v="1.7000000000000001E-2"/>
    <n v="0.36"/>
    <n v="1.699999999999996E-2"/>
    <x v="0"/>
    <n v="4.7222222222222228E-2"/>
  </r>
  <r>
    <n v="331221"/>
    <n v="331200"/>
    <x v="299"/>
    <n v="0.34300000000000003"/>
    <n v="1.7000000000000001E-2"/>
    <n v="0.36"/>
    <n v="1.699999999999996E-2"/>
    <x v="1"/>
    <n v="4.7222222222222228E-2"/>
  </r>
  <r>
    <n v="331222"/>
    <n v="331200"/>
    <x v="300"/>
    <n v="0.34300000000000003"/>
    <n v="1.7000000000000001E-2"/>
    <n v="0.36"/>
    <n v="1.699999999999996E-2"/>
    <x v="1"/>
    <n v="4.7222222222222228E-2"/>
  </r>
  <r>
    <n v="331313"/>
    <n v="331313"/>
    <x v="301"/>
    <n v="1.0029999999999999"/>
    <n v="1.4E-2"/>
    <n v="1.018"/>
    <n v="1.5000000000000124E-2"/>
    <x v="1"/>
    <n v="1.37524557956778E-2"/>
  </r>
  <r>
    <n v="331315"/>
    <s v="33131B"/>
    <x v="302"/>
    <n v="0.7"/>
    <n v="2.1000000000000001E-2"/>
    <n v="0.72099999999999997"/>
    <n v="2.1000000000000019E-2"/>
    <x v="0"/>
    <n v="2.9126213592233014E-2"/>
  </r>
  <r>
    <n v="331318"/>
    <s v="33131B"/>
    <x v="303"/>
    <n v="0.7"/>
    <n v="2.1000000000000001E-2"/>
    <n v="0.72099999999999997"/>
    <n v="2.1000000000000019E-2"/>
    <x v="0"/>
    <n v="2.9126213592233014E-2"/>
  </r>
  <r>
    <n v="331410"/>
    <n v="331410"/>
    <x v="304"/>
    <n v="0.40799999999999997"/>
    <n v="1.6E-2"/>
    <n v="0.42299999999999999"/>
    <n v="1.5000000000000013E-2"/>
    <x v="0"/>
    <n v="3.7825059101654845E-2"/>
  </r>
  <r>
    <n v="331420"/>
    <n v="331420"/>
    <x v="305"/>
    <n v="0.316"/>
    <n v="1.9E-2"/>
    <n v="0.33400000000000002"/>
    <n v="1.8000000000000016E-2"/>
    <x v="1"/>
    <n v="5.6886227544910177E-2"/>
  </r>
  <r>
    <n v="331491"/>
    <n v="331490"/>
    <x v="306"/>
    <n v="0.41399999999999998"/>
    <n v="1.7999999999999999E-2"/>
    <n v="0.43099999999999999"/>
    <n v="1.7000000000000015E-2"/>
    <x v="1"/>
    <n v="4.1763341067285381E-2"/>
  </r>
  <r>
    <n v="331492"/>
    <n v="331490"/>
    <x v="307"/>
    <n v="0.41399999999999998"/>
    <n v="1.7999999999999999E-2"/>
    <n v="0.43099999999999999"/>
    <n v="1.7000000000000015E-2"/>
    <x v="1"/>
    <n v="4.1763341067285381E-2"/>
  </r>
  <r>
    <n v="331511"/>
    <n v="331510"/>
    <x v="308"/>
    <n v="0.34899999999999998"/>
    <n v="2.1000000000000001E-2"/>
    <n v="0.36899999999999999"/>
    <n v="2.0000000000000018E-2"/>
    <x v="1"/>
    <n v="5.6910569105691061E-2"/>
  </r>
  <r>
    <n v="331512"/>
    <n v="331510"/>
    <x v="309"/>
    <n v="0.34899999999999998"/>
    <n v="2.1000000000000001E-2"/>
    <n v="0.36899999999999999"/>
    <n v="2.0000000000000018E-2"/>
    <x v="1"/>
    <n v="5.6910569105691061E-2"/>
  </r>
  <r>
    <n v="331513"/>
    <n v="331510"/>
    <x v="310"/>
    <n v="0.34899999999999998"/>
    <n v="2.1000000000000001E-2"/>
    <n v="0.36899999999999999"/>
    <n v="2.0000000000000018E-2"/>
    <x v="1"/>
    <n v="5.6910569105691061E-2"/>
  </r>
  <r>
    <n v="331523"/>
    <n v="331520"/>
    <x v="311"/>
    <n v="0.438"/>
    <n v="2.5000000000000001E-2"/>
    <n v="0.46200000000000002"/>
    <n v="2.4000000000000021E-2"/>
    <x v="1"/>
    <n v="5.4112554112554112E-2"/>
  </r>
  <r>
    <n v="331524"/>
    <n v="331520"/>
    <x v="312"/>
    <n v="0.438"/>
    <n v="2.5000000000000001E-2"/>
    <n v="0.46200000000000002"/>
    <n v="2.4000000000000021E-2"/>
    <x v="1"/>
    <n v="5.4112554112554112E-2"/>
  </r>
  <r>
    <n v="331529"/>
    <n v="331520"/>
    <x v="313"/>
    <n v="0.438"/>
    <n v="2.5000000000000001E-2"/>
    <n v="0.46200000000000002"/>
    <n v="2.4000000000000021E-2"/>
    <x v="1"/>
    <n v="5.4112554112554112E-2"/>
  </r>
  <r>
    <n v="332111"/>
    <s v="33211A"/>
    <x v="314"/>
    <n v="0.47"/>
    <n v="2.3E-2"/>
    <n v="0.49299999999999999"/>
    <n v="2.300000000000002E-2"/>
    <x v="1"/>
    <n v="4.665314401622718E-2"/>
  </r>
  <r>
    <n v="332112"/>
    <s v="33211A"/>
    <x v="315"/>
    <n v="0.47"/>
    <n v="2.3E-2"/>
    <n v="0.49299999999999999"/>
    <n v="2.300000000000002E-2"/>
    <x v="1"/>
    <n v="4.665314401622718E-2"/>
  </r>
  <r>
    <n v="332114"/>
    <n v="332114"/>
    <x v="316"/>
    <n v="0.34899999999999998"/>
    <n v="1.2999999999999999E-2"/>
    <n v="0.36199999999999999"/>
    <n v="1.3000000000000012E-2"/>
    <x v="1"/>
    <n v="3.591160220994475E-2"/>
  </r>
  <r>
    <n v="332117"/>
    <s v="33211A"/>
    <x v="317"/>
    <n v="0.47"/>
    <n v="2.3E-2"/>
    <n v="0.49299999999999999"/>
    <n v="2.300000000000002E-2"/>
    <x v="1"/>
    <n v="4.665314401622718E-2"/>
  </r>
  <r>
    <n v="332119"/>
    <n v="332119"/>
    <x v="318"/>
    <n v="0.29299999999999998"/>
    <n v="2.5999999999999999E-2"/>
    <n v="0.31900000000000001"/>
    <n v="2.6000000000000023E-2"/>
    <x v="1"/>
    <n v="8.1504702194357362E-2"/>
  </r>
  <r>
    <n v="332215"/>
    <n v="332200"/>
    <x v="319"/>
    <n v="0.17399999999999999"/>
    <n v="4.9000000000000002E-2"/>
    <n v="0.223"/>
    <n v="4.9000000000000016E-2"/>
    <x v="1"/>
    <n v="0.21973094170403587"/>
  </r>
  <r>
    <n v="332216"/>
    <n v="332200"/>
    <x v="320"/>
    <n v="0.17399999999999999"/>
    <n v="4.9000000000000002E-2"/>
    <n v="0.223"/>
    <n v="4.9000000000000016E-2"/>
    <x v="1"/>
    <n v="0.21973094170403587"/>
  </r>
  <r>
    <n v="332311"/>
    <n v="332310"/>
    <x v="321"/>
    <n v="0.246"/>
    <n v="1.7000000000000001E-2"/>
    <n v="0.26200000000000001"/>
    <n v="1.6000000000000014E-2"/>
    <x v="1"/>
    <n v="6.4885496183206104E-2"/>
  </r>
  <r>
    <n v="332312"/>
    <n v="332310"/>
    <x v="322"/>
    <n v="0.246"/>
    <n v="1.7000000000000001E-2"/>
    <n v="0.26200000000000001"/>
    <n v="1.6000000000000014E-2"/>
    <x v="1"/>
    <n v="6.4885496183206104E-2"/>
  </r>
  <r>
    <n v="332313"/>
    <n v="332310"/>
    <x v="323"/>
    <n v="0.246"/>
    <n v="1.7000000000000001E-2"/>
    <n v="0.26200000000000001"/>
    <n v="1.6000000000000014E-2"/>
    <x v="1"/>
    <n v="6.4885496183206104E-2"/>
  </r>
  <r>
    <n v="332321"/>
    <n v="332320"/>
    <x v="324"/>
    <n v="0.19500000000000001"/>
    <n v="2.5999999999999999E-2"/>
    <n v="0.221"/>
    <n v="2.5999999999999995E-2"/>
    <x v="1"/>
    <n v="0.11764705882352941"/>
  </r>
  <r>
    <n v="332322"/>
    <n v="332320"/>
    <x v="325"/>
    <n v="0.19500000000000001"/>
    <n v="2.5999999999999999E-2"/>
    <n v="0.221"/>
    <n v="2.5999999999999995E-2"/>
    <x v="1"/>
    <n v="0.11764705882352941"/>
  </r>
  <r>
    <n v="332323"/>
    <n v="332320"/>
    <x v="326"/>
    <n v="0.19500000000000001"/>
    <n v="2.5999999999999999E-2"/>
    <n v="0.221"/>
    <n v="2.5999999999999995E-2"/>
    <x v="1"/>
    <n v="0.11764705882352941"/>
  </r>
  <r>
    <n v="332410"/>
    <n v="332410"/>
    <x v="327"/>
    <n v="0.182"/>
    <n v="2.7E-2"/>
    <n v="0.20899999999999999"/>
    <n v="2.6999999999999996E-2"/>
    <x v="1"/>
    <n v="0.12918660287081341"/>
  </r>
  <r>
    <n v="332420"/>
    <n v="332420"/>
    <x v="328"/>
    <n v="0.26700000000000002"/>
    <n v="1.2E-2"/>
    <n v="0.27900000000000003"/>
    <n v="1.2000000000000011E-2"/>
    <x v="1"/>
    <n v="4.301075268817204E-2"/>
  </r>
  <r>
    <n v="332431"/>
    <n v="332430"/>
    <x v="329"/>
    <n v="0.30199999999999999"/>
    <n v="1.6E-2"/>
    <n v="0.318"/>
    <n v="1.6000000000000014E-2"/>
    <x v="1"/>
    <n v="5.0314465408805034E-2"/>
  </r>
  <r>
    <n v="332439"/>
    <n v="332430"/>
    <x v="330"/>
    <n v="0.30199999999999999"/>
    <n v="1.6E-2"/>
    <n v="0.318"/>
    <n v="1.6000000000000014E-2"/>
    <x v="1"/>
    <n v="5.0314465408805034E-2"/>
  </r>
  <r>
    <n v="332510"/>
    <n v="332500"/>
    <x v="331"/>
    <n v="0.157"/>
    <n v="3.4000000000000002E-2"/>
    <n v="0.191"/>
    <n v="3.4000000000000002E-2"/>
    <x v="1"/>
    <n v="0.1780104712041885"/>
  </r>
  <r>
    <n v="332613"/>
    <n v="332600"/>
    <x v="332"/>
    <n v="0.219"/>
    <n v="1.4E-2"/>
    <n v="0.23300000000000001"/>
    <n v="1.4000000000000012E-2"/>
    <x v="1"/>
    <n v="6.0085836909871244E-2"/>
  </r>
  <r>
    <n v="332618"/>
    <n v="332600"/>
    <x v="333"/>
    <n v="0.219"/>
    <n v="1.4E-2"/>
    <n v="0.23300000000000001"/>
    <n v="1.4000000000000012E-2"/>
    <x v="1"/>
    <n v="6.0085836909871244E-2"/>
  </r>
  <r>
    <n v="332710"/>
    <n v="332710"/>
    <x v="334"/>
    <n v="0.26200000000000001"/>
    <n v="1.6E-2"/>
    <n v="0.27800000000000002"/>
    <n v="1.6000000000000014E-2"/>
    <x v="1"/>
    <n v="5.755395683453237E-2"/>
  </r>
  <r>
    <n v="332721"/>
    <n v="332720"/>
    <x v="335"/>
    <n v="0.222"/>
    <n v="2.5999999999999999E-2"/>
    <n v="0.248"/>
    <n v="2.5999999999999995E-2"/>
    <x v="1"/>
    <n v="0.10483870967741934"/>
  </r>
  <r>
    <n v="332722"/>
    <n v="332720"/>
    <x v="336"/>
    <n v="0.222"/>
    <n v="2.5999999999999999E-2"/>
    <n v="0.248"/>
    <n v="2.5999999999999995E-2"/>
    <x v="1"/>
    <n v="0.10483870967741934"/>
  </r>
  <r>
    <n v="332811"/>
    <n v="332800"/>
    <x v="337"/>
    <n v="0.36799999999999999"/>
    <n v="1.4999999999999999E-2"/>
    <n v="0.38200000000000001"/>
    <n v="1.4000000000000012E-2"/>
    <x v="1"/>
    <n v="3.9267015706806283E-2"/>
  </r>
  <r>
    <n v="332812"/>
    <n v="332800"/>
    <x v="338"/>
    <n v="0.36799999999999999"/>
    <n v="1.4999999999999999E-2"/>
    <n v="0.38200000000000001"/>
    <n v="1.4000000000000012E-2"/>
    <x v="1"/>
    <n v="3.9267015706806283E-2"/>
  </r>
  <r>
    <n v="332813"/>
    <n v="332800"/>
    <x v="339"/>
    <n v="0.36799999999999999"/>
    <n v="1.4999999999999999E-2"/>
    <n v="0.38200000000000001"/>
    <n v="1.4000000000000012E-2"/>
    <x v="1"/>
    <n v="3.9267015706806283E-2"/>
  </r>
  <r>
    <n v="332911"/>
    <s v="33291A"/>
    <x v="340"/>
    <n v="0.14599999999999999"/>
    <n v="2.7E-2"/>
    <n v="0.17299999999999999"/>
    <n v="2.6999999999999996E-2"/>
    <x v="1"/>
    <n v="0.15606936416184972"/>
  </r>
  <r>
    <n v="332912"/>
    <s v="33291A"/>
    <x v="341"/>
    <n v="0.14599999999999999"/>
    <n v="2.7E-2"/>
    <n v="0.17299999999999999"/>
    <n v="2.6999999999999996E-2"/>
    <x v="1"/>
    <n v="0.15606936416184972"/>
  </r>
  <r>
    <n v="332913"/>
    <n v="332913"/>
    <x v="342"/>
    <n v="0.126"/>
    <n v="4.4999999999999998E-2"/>
    <n v="0.17100000000000001"/>
    <n v="4.5000000000000012E-2"/>
    <x v="1"/>
    <n v="0.26315789473684209"/>
  </r>
  <r>
    <n v="332919"/>
    <s v="33291A"/>
    <x v="343"/>
    <n v="0.14599999999999999"/>
    <n v="2.7E-2"/>
    <n v="0.17299999999999999"/>
    <n v="2.6999999999999996E-2"/>
    <x v="1"/>
    <n v="0.15606936416184972"/>
  </r>
  <r>
    <n v="332991"/>
    <n v="332991"/>
    <x v="344"/>
    <n v="0.17899999999999999"/>
    <n v="2.4E-2"/>
    <n v="0.20300000000000001"/>
    <n v="2.4000000000000021E-2"/>
    <x v="1"/>
    <n v="0.11822660098522167"/>
  </r>
  <r>
    <n v="332992"/>
    <s v="33299A"/>
    <x v="345"/>
    <n v="0.115"/>
    <n v="5.3999999999999999E-2"/>
    <n v="0.16800000000000001"/>
    <n v="5.3000000000000005E-2"/>
    <x v="1"/>
    <n v="0.3214285714285714"/>
  </r>
  <r>
    <n v="332993"/>
    <s v="33299A"/>
    <x v="346"/>
    <n v="0.115"/>
    <n v="5.3999999999999999E-2"/>
    <n v="0.16800000000000001"/>
    <n v="5.3000000000000005E-2"/>
    <x v="1"/>
    <n v="0.3214285714285714"/>
  </r>
  <r>
    <n v="332994"/>
    <s v="33299A"/>
    <x v="347"/>
    <n v="0.115"/>
    <n v="5.3999999999999999E-2"/>
    <n v="0.16800000000000001"/>
    <n v="5.3000000000000005E-2"/>
    <x v="1"/>
    <n v="0.3214285714285714"/>
  </r>
  <r>
    <n v="332996"/>
    <n v="332996"/>
    <x v="348"/>
    <n v="0.21199999999999999"/>
    <n v="2.5999999999999999E-2"/>
    <n v="0.23799999999999999"/>
    <n v="2.5999999999999995E-2"/>
    <x v="1"/>
    <n v="0.1092436974789916"/>
  </r>
  <r>
    <n v="332999"/>
    <n v="332999"/>
    <x v="349"/>
    <n v="0.248"/>
    <n v="2.4E-2"/>
    <n v="0.27200000000000002"/>
    <n v="2.4000000000000021E-2"/>
    <x v="1"/>
    <n v="8.8235294117647051E-2"/>
  </r>
  <r>
    <n v="333111"/>
    <n v="333111"/>
    <x v="350"/>
    <n v="0.191"/>
    <n v="2.9000000000000001E-2"/>
    <n v="0.22"/>
    <n v="2.8999999999999998E-2"/>
    <x v="1"/>
    <n v="0.13181818181818183"/>
  </r>
  <r>
    <n v="333112"/>
    <n v="333112"/>
    <x v="351"/>
    <n v="5.1999999999999998E-2"/>
    <n v="6.8000000000000005E-2"/>
    <n v="0.12"/>
    <n v="6.8000000000000005E-2"/>
    <x v="1"/>
    <n v="0.56666666666666676"/>
  </r>
  <r>
    <n v="333120"/>
    <n v="333120"/>
    <x v="352"/>
    <n v="0.20100000000000001"/>
    <n v="2.7E-2"/>
    <n v="0.22800000000000001"/>
    <n v="2.6999999999999996E-2"/>
    <x v="1"/>
    <n v="0.11842105263157894"/>
  </r>
  <r>
    <n v="333131"/>
    <n v="333130"/>
    <x v="353"/>
    <n v="0.17499999999999999"/>
    <n v="4.3999999999999997E-2"/>
    <n v="0.219"/>
    <n v="4.4000000000000011E-2"/>
    <x v="1"/>
    <n v="0.20091324200913241"/>
  </r>
  <r>
    <n v="333132"/>
    <n v="333130"/>
    <x v="354"/>
    <n v="0.17499999999999999"/>
    <n v="4.3999999999999997E-2"/>
    <n v="0.219"/>
    <n v="4.4000000000000011E-2"/>
    <x v="1"/>
    <n v="0.20091324200913241"/>
  </r>
  <r>
    <n v="333241"/>
    <s v="33329A"/>
    <x v="355"/>
    <n v="0.16600000000000001"/>
    <n v="1.9E-2"/>
    <n v="0.185"/>
    <n v="1.8999999999999989E-2"/>
    <x v="1"/>
    <n v="0.10270270270270269"/>
  </r>
  <r>
    <n v="333242"/>
    <n v="333242"/>
    <x v="356"/>
    <n v="0.13"/>
    <n v="0.02"/>
    <n v="0.15"/>
    <n v="1.999999999999999E-2"/>
    <x v="1"/>
    <n v="0.13333333333333333"/>
  </r>
  <r>
    <n v="333243"/>
    <s v="33329A"/>
    <x v="357"/>
    <n v="0.16600000000000001"/>
    <n v="1.9E-2"/>
    <n v="0.185"/>
    <n v="1.8999999999999989E-2"/>
    <x v="1"/>
    <n v="0.10270270270270269"/>
  </r>
  <r>
    <n v="333244"/>
    <s v="33329A"/>
    <x v="358"/>
    <n v="0.16600000000000001"/>
    <n v="1.9E-2"/>
    <n v="0.185"/>
    <n v="1.8999999999999989E-2"/>
    <x v="1"/>
    <n v="0.10270270270270269"/>
  </r>
  <r>
    <n v="333249"/>
    <s v="33329A"/>
    <x v="359"/>
    <n v="0.16600000000000001"/>
    <n v="1.9E-2"/>
    <n v="0.185"/>
    <n v="1.8999999999999989E-2"/>
    <x v="1"/>
    <n v="0.10270270270270269"/>
  </r>
  <r>
    <n v="333314"/>
    <n v="333314"/>
    <x v="360"/>
    <n v="0.152"/>
    <n v="2.3E-2"/>
    <n v="0.17499999999999999"/>
    <n v="2.2999999999999993E-2"/>
    <x v="1"/>
    <n v="0.13142857142857142"/>
  </r>
  <r>
    <n v="333316"/>
    <n v="333316"/>
    <x v="361"/>
    <n v="8.5000000000000006E-2"/>
    <n v="0.05"/>
    <n v="0.13500000000000001"/>
    <n v="0.05"/>
    <x v="1"/>
    <n v="0.37037037037037035"/>
  </r>
  <r>
    <n v="333318"/>
    <n v="333318"/>
    <x v="362"/>
    <n v="0.17100000000000001"/>
    <n v="3.4000000000000002E-2"/>
    <n v="0.20499999999999999"/>
    <n v="3.3999999999999975E-2"/>
    <x v="1"/>
    <n v="0.16585365853658537"/>
  </r>
  <r>
    <n v="333413"/>
    <n v="333413"/>
    <x v="363"/>
    <n v="0.184"/>
    <n v="2.5000000000000001E-2"/>
    <n v="0.21"/>
    <n v="2.5999999999999995E-2"/>
    <x v="1"/>
    <n v="0.11904761904761905"/>
  </r>
  <r>
    <n v="333414"/>
    <n v="333414"/>
    <x v="364"/>
    <n v="0.13800000000000001"/>
    <n v="3.7999999999999999E-2"/>
    <n v="0.17599999999999999"/>
    <n v="3.7999999999999978E-2"/>
    <x v="1"/>
    <n v="0.21590909090909091"/>
  </r>
  <r>
    <n v="333415"/>
    <n v="333415"/>
    <x v="365"/>
    <n v="0.156"/>
    <n v="2.8000000000000001E-2"/>
    <n v="0.184"/>
    <n v="2.7999999999999997E-2"/>
    <x v="1"/>
    <n v="0.15217391304347827"/>
  </r>
  <r>
    <n v="333511"/>
    <n v="333511"/>
    <x v="366"/>
    <n v="0.23599999999999999"/>
    <n v="2.5000000000000001E-2"/>
    <n v="0.26200000000000001"/>
    <n v="2.6000000000000023E-2"/>
    <x v="1"/>
    <n v="9.5419847328244281E-2"/>
  </r>
  <r>
    <n v="333514"/>
    <n v="333514"/>
    <x v="367"/>
    <n v="0.184"/>
    <n v="2.5999999999999999E-2"/>
    <n v="0.21"/>
    <n v="2.5999999999999995E-2"/>
    <x v="1"/>
    <n v="0.12380952380952381"/>
  </r>
  <r>
    <n v="333515"/>
    <s v="33351B"/>
    <x v="368"/>
    <n v="0.184"/>
    <n v="2.3E-2"/>
    <n v="0.20699999999999999"/>
    <n v="2.2999999999999993E-2"/>
    <x v="1"/>
    <n v="0.11111111111111112"/>
  </r>
  <r>
    <n v="333517"/>
    <n v="333517"/>
    <x v="369"/>
    <n v="0.17599999999999999"/>
    <n v="2.3E-2"/>
    <n v="0.19900000000000001"/>
    <n v="2.300000000000002E-2"/>
    <x v="1"/>
    <n v="0.11557788944723617"/>
  </r>
  <r>
    <n v="333519"/>
    <s v="33351B"/>
    <x v="370"/>
    <n v="0.184"/>
    <n v="2.3E-2"/>
    <n v="0.20699999999999999"/>
    <n v="2.2999999999999993E-2"/>
    <x v="1"/>
    <n v="0.11111111111111112"/>
  </r>
  <r>
    <n v="333611"/>
    <n v="333611"/>
    <x v="371"/>
    <n v="0.17799999999999999"/>
    <n v="2.4E-2"/>
    <n v="0.20100000000000001"/>
    <n v="2.300000000000002E-2"/>
    <x v="1"/>
    <n v="0.11940298507462686"/>
  </r>
  <r>
    <n v="333612"/>
    <n v="333612"/>
    <x v="372"/>
    <n v="0.16300000000000001"/>
    <n v="1.6E-2"/>
    <n v="0.17899999999999999"/>
    <n v="1.5999999999999986E-2"/>
    <x v="1"/>
    <n v="8.9385474860335198E-2"/>
  </r>
  <r>
    <n v="333613"/>
    <n v="333613"/>
    <x v="373"/>
    <n v="0.187"/>
    <n v="2.1999999999999999E-2"/>
    <n v="0.20899999999999999"/>
    <n v="2.1999999999999992E-2"/>
    <x v="1"/>
    <n v="0.10526315789473684"/>
  </r>
  <r>
    <n v="333618"/>
    <n v="333618"/>
    <x v="374"/>
    <n v="0.27300000000000002"/>
    <n v="2.4E-2"/>
    <n v="0.29699999999999999"/>
    <n v="2.3999999999999966E-2"/>
    <x v="1"/>
    <n v="8.0808080808080815E-2"/>
  </r>
  <r>
    <n v="333912"/>
    <n v="333912"/>
    <x v="375"/>
    <n v="0.158"/>
    <n v="0.02"/>
    <n v="0.17699999999999999"/>
    <n v="1.8999999999999989E-2"/>
    <x v="1"/>
    <n v="0.11299435028248589"/>
  </r>
  <r>
    <n v="333914"/>
    <n v="333914"/>
    <x v="376"/>
    <n v="0.223"/>
    <n v="0"/>
    <n v="0.223"/>
    <n v="0"/>
    <x v="1"/>
    <n v="0"/>
  </r>
  <r>
    <n v="333921"/>
    <n v="333920"/>
    <x v="377"/>
    <n v="0.23400000000000001"/>
    <n v="2.1999999999999999E-2"/>
    <n v="0.25600000000000001"/>
    <n v="2.1999999999999992E-2"/>
    <x v="1"/>
    <n v="8.59375E-2"/>
  </r>
  <r>
    <n v="333922"/>
    <n v="333920"/>
    <x v="378"/>
    <n v="0.23400000000000001"/>
    <n v="2.1999999999999999E-2"/>
    <n v="0.25600000000000001"/>
    <n v="2.1999999999999992E-2"/>
    <x v="1"/>
    <n v="8.59375E-2"/>
  </r>
  <r>
    <n v="333923"/>
    <n v="333920"/>
    <x v="379"/>
    <n v="0.23400000000000001"/>
    <n v="2.1999999999999999E-2"/>
    <n v="0.25600000000000001"/>
    <n v="2.1999999999999992E-2"/>
    <x v="1"/>
    <n v="8.59375E-2"/>
  </r>
  <r>
    <n v="333924"/>
    <n v="333920"/>
    <x v="380"/>
    <n v="0.23400000000000001"/>
    <n v="2.1999999999999999E-2"/>
    <n v="0.25600000000000001"/>
    <n v="2.1999999999999992E-2"/>
    <x v="1"/>
    <n v="8.59375E-2"/>
  </r>
  <r>
    <n v="333991"/>
    <n v="333991"/>
    <x v="381"/>
    <n v="8.3000000000000004E-2"/>
    <n v="5.2999999999999999E-2"/>
    <n v="0.13600000000000001"/>
    <n v="5.3000000000000005E-2"/>
    <x v="1"/>
    <n v="0.38970588235294112"/>
  </r>
  <r>
    <n v="333992"/>
    <s v="33399A"/>
    <x v="382"/>
    <n v="0.22800000000000001"/>
    <n v="2.1000000000000001E-2"/>
    <n v="0.249"/>
    <n v="2.0999999999999991E-2"/>
    <x v="1"/>
    <n v="8.4337349397590369E-2"/>
  </r>
  <r>
    <n v="333993"/>
    <n v="333993"/>
    <x v="383"/>
    <n v="0.113"/>
    <n v="2.3E-2"/>
    <n v="0.13600000000000001"/>
    <n v="2.3000000000000007E-2"/>
    <x v="1"/>
    <n v="0.16911764705882351"/>
  </r>
  <r>
    <n v="333994"/>
    <n v="333994"/>
    <x v="384"/>
    <n v="0.16800000000000001"/>
    <n v="2.1999999999999999E-2"/>
    <n v="0.19"/>
    <n v="2.1999999999999992E-2"/>
    <x v="1"/>
    <n v="0.11578947368421051"/>
  </r>
  <r>
    <n v="333995"/>
    <s v="33399B"/>
    <x v="385"/>
    <n v="0.182"/>
    <n v="2.1000000000000001E-2"/>
    <n v="0.20200000000000001"/>
    <n v="2.0000000000000018E-2"/>
    <x v="1"/>
    <n v="0.10396039603960396"/>
  </r>
  <r>
    <n v="333996"/>
    <s v="33399B"/>
    <x v="386"/>
    <n v="0.182"/>
    <n v="2.1000000000000001E-2"/>
    <n v="0.20200000000000001"/>
    <n v="2.0000000000000018E-2"/>
    <x v="1"/>
    <n v="0.10396039603960396"/>
  </r>
  <r>
    <n v="333997"/>
    <s v="33399A"/>
    <x v="387"/>
    <n v="0.22800000000000001"/>
    <n v="2.1000000000000001E-2"/>
    <n v="0.249"/>
    <n v="2.0999999999999991E-2"/>
    <x v="1"/>
    <n v="8.4337349397590369E-2"/>
  </r>
  <r>
    <n v="333999"/>
    <s v="33399A"/>
    <x v="388"/>
    <n v="0.22800000000000001"/>
    <n v="2.1000000000000001E-2"/>
    <n v="0.249"/>
    <n v="2.0999999999999991E-2"/>
    <x v="1"/>
    <n v="8.4337349397590369E-2"/>
  </r>
  <r>
    <n v="334111"/>
    <n v="334111"/>
    <x v="389"/>
    <n v="0.03"/>
    <n v="2.8000000000000001E-2"/>
    <n v="5.8000000000000003E-2"/>
    <n v="2.8000000000000004E-2"/>
    <x v="1"/>
    <n v="0.48275862068965514"/>
  </r>
  <r>
    <n v="334112"/>
    <n v="334112"/>
    <x v="390"/>
    <n v="0.04"/>
    <n v="3.1E-2"/>
    <n v="7.0999999999999994E-2"/>
    <n v="3.0999999999999993E-2"/>
    <x v="1"/>
    <n v="0.43661971830985918"/>
  </r>
  <r>
    <n v="334118"/>
    <n v="334118"/>
    <x v="391"/>
    <n v="0.11600000000000001"/>
    <n v="2.7E-2"/>
    <n v="0.14299999999999999"/>
    <n v="2.6999999999999982E-2"/>
    <x v="1"/>
    <n v="0.18881118881118883"/>
  </r>
  <r>
    <n v="334210"/>
    <n v="334210"/>
    <x v="392"/>
    <n v="5.0999999999999997E-2"/>
    <n v="4.4999999999999998E-2"/>
    <n v="9.6000000000000002E-2"/>
    <n v="4.5000000000000005E-2"/>
    <x v="1"/>
    <n v="0.46875"/>
  </r>
  <r>
    <n v="334220"/>
    <n v="334220"/>
    <x v="393"/>
    <n v="6.5000000000000002E-2"/>
    <n v="4.7E-2"/>
    <n v="0.111"/>
    <n v="4.5999999999999999E-2"/>
    <x v="1"/>
    <n v="0.42342342342342343"/>
  </r>
  <r>
    <n v="334290"/>
    <n v="334290"/>
    <x v="394"/>
    <n v="3.7999999999999999E-2"/>
    <n v="4.2000000000000003E-2"/>
    <n v="0.08"/>
    <n v="4.2000000000000003E-2"/>
    <x v="1"/>
    <n v="0.52500000000000002"/>
  </r>
  <r>
    <n v="334310"/>
    <n v="334300"/>
    <x v="395"/>
    <n v="4.2999999999999997E-2"/>
    <n v="3.7999999999999999E-2"/>
    <n v="8.1000000000000003E-2"/>
    <n v="3.8000000000000006E-2"/>
    <x v="1"/>
    <n v="0.46913580246913578"/>
  </r>
  <r>
    <n v="334412"/>
    <s v="33441A"/>
    <x v="396"/>
    <n v="0.08"/>
    <n v="1.9E-2"/>
    <n v="9.8000000000000004E-2"/>
    <n v="1.8000000000000002E-2"/>
    <x v="1"/>
    <n v="0.19387755102040816"/>
  </r>
  <r>
    <n v="334413"/>
    <n v="334413"/>
    <x v="397"/>
    <n v="0.188"/>
    <n v="2.8000000000000001E-2"/>
    <n v="0.215"/>
    <n v="2.6999999999999996E-2"/>
    <x v="1"/>
    <n v="0.13023255813953488"/>
  </r>
  <r>
    <n v="334416"/>
    <s v="33441A"/>
    <x v="398"/>
    <n v="0.08"/>
    <n v="1.9E-2"/>
    <n v="9.8000000000000004E-2"/>
    <n v="1.8000000000000002E-2"/>
    <x v="1"/>
    <n v="0.19387755102040816"/>
  </r>
  <r>
    <n v="334417"/>
    <s v="33441A"/>
    <x v="399"/>
    <n v="0.08"/>
    <n v="1.9E-2"/>
    <n v="9.8000000000000004E-2"/>
    <n v="1.8000000000000002E-2"/>
    <x v="1"/>
    <n v="0.19387755102040816"/>
  </r>
  <r>
    <n v="334418"/>
    <n v="334418"/>
    <x v="400"/>
    <n v="6.8000000000000005E-2"/>
    <n v="3.3000000000000002E-2"/>
    <n v="0.10100000000000001"/>
    <n v="3.3000000000000002E-2"/>
    <x v="1"/>
    <n v="0.32673267326732675"/>
  </r>
  <r>
    <n v="334419"/>
    <s v="33441A"/>
    <x v="401"/>
    <n v="0.08"/>
    <n v="1.9E-2"/>
    <n v="9.8000000000000004E-2"/>
    <n v="1.8000000000000002E-2"/>
    <x v="1"/>
    <n v="0.19387755102040816"/>
  </r>
  <r>
    <n v="334510"/>
    <n v="334510"/>
    <x v="402"/>
    <n v="8.6999999999999994E-2"/>
    <n v="4.8000000000000001E-2"/>
    <n v="0.13500000000000001"/>
    <n v="4.8000000000000015E-2"/>
    <x v="1"/>
    <n v="0.35555555555555551"/>
  </r>
  <r>
    <n v="334511"/>
    <n v="334511"/>
    <x v="403"/>
    <n v="5.1999999999999998E-2"/>
    <n v="1.9E-2"/>
    <n v="7.0999999999999994E-2"/>
    <n v="1.8999999999999996E-2"/>
    <x v="1"/>
    <n v="0.26760563380281693"/>
  </r>
  <r>
    <n v="334512"/>
    <n v="334512"/>
    <x v="404"/>
    <n v="4.7E-2"/>
    <n v="2.3E-2"/>
    <n v="7.0000000000000007E-2"/>
    <n v="2.3000000000000007E-2"/>
    <x v="1"/>
    <n v="0.32857142857142851"/>
  </r>
  <r>
    <n v="334513"/>
    <n v="334513"/>
    <x v="405"/>
    <n v="4.8000000000000001E-2"/>
    <n v="1.4999999999999999E-2"/>
    <n v="6.3E-2"/>
    <n v="1.4999999999999999E-2"/>
    <x v="1"/>
    <n v="0.23809523809523808"/>
  </r>
  <r>
    <n v="334514"/>
    <n v="334514"/>
    <x v="406"/>
    <n v="6.3E-2"/>
    <n v="2.1000000000000001E-2"/>
    <n v="8.4000000000000005E-2"/>
    <n v="2.1000000000000005E-2"/>
    <x v="1"/>
    <n v="0.25"/>
  </r>
  <r>
    <n v="334515"/>
    <n v="334515"/>
    <x v="407"/>
    <n v="5.5E-2"/>
    <n v="2.4E-2"/>
    <n v="7.9000000000000001E-2"/>
    <n v="2.4E-2"/>
    <x v="1"/>
    <n v="0.30379746835443039"/>
  </r>
  <r>
    <n v="334516"/>
    <n v="334516"/>
    <x v="408"/>
    <n v="7.8E-2"/>
    <n v="2.4E-2"/>
    <n v="0.10199999999999999"/>
    <n v="2.3999999999999994E-2"/>
    <x v="1"/>
    <n v="0.23529411764705885"/>
  </r>
  <r>
    <n v="334517"/>
    <n v="334517"/>
    <x v="409"/>
    <n v="9.7000000000000003E-2"/>
    <n v="3.7999999999999999E-2"/>
    <n v="0.13500000000000001"/>
    <n v="3.8000000000000006E-2"/>
    <x v="1"/>
    <n v="0.28148148148148144"/>
  </r>
  <r>
    <n v="334519"/>
    <s v="33451A"/>
    <x v="410"/>
    <n v="4.3999999999999997E-2"/>
    <n v="4.2000000000000003E-2"/>
    <n v="8.6999999999999994E-2"/>
    <n v="4.2999999999999997E-2"/>
    <x v="1"/>
    <n v="0.48275862068965525"/>
  </r>
  <r>
    <n v="334613"/>
    <n v="334610"/>
    <x v="411"/>
    <n v="4.2999999999999997E-2"/>
    <n v="2.1000000000000001E-2"/>
    <n v="6.3E-2"/>
    <n v="2.0000000000000004E-2"/>
    <x v="1"/>
    <n v="0.33333333333333337"/>
  </r>
  <r>
    <n v="334614"/>
    <n v="334610"/>
    <x v="412"/>
    <n v="4.2999999999999997E-2"/>
    <n v="2.1000000000000001E-2"/>
    <n v="6.3E-2"/>
    <n v="2.0000000000000004E-2"/>
    <x v="1"/>
    <n v="0.33333333333333337"/>
  </r>
  <r>
    <n v="335110"/>
    <n v="335110"/>
    <x v="413"/>
    <n v="9.9000000000000005E-2"/>
    <n v="7.3999999999999996E-2"/>
    <n v="0.17299999999999999"/>
    <n v="7.3999999999999982E-2"/>
    <x v="1"/>
    <n v="0.4277456647398844"/>
  </r>
  <r>
    <n v="335121"/>
    <n v="335120"/>
    <x v="414"/>
    <n v="0.13800000000000001"/>
    <n v="4.7E-2"/>
    <n v="0.185"/>
    <n v="4.6999999999999986E-2"/>
    <x v="1"/>
    <n v="0.25405405405405407"/>
  </r>
  <r>
    <n v="335122"/>
    <n v="335120"/>
    <x v="415"/>
    <n v="0.13800000000000001"/>
    <n v="4.7E-2"/>
    <n v="0.185"/>
    <n v="4.6999999999999986E-2"/>
    <x v="1"/>
    <n v="0.25405405405405407"/>
  </r>
  <r>
    <n v="335129"/>
    <n v="335120"/>
    <x v="416"/>
    <n v="0.13800000000000001"/>
    <n v="4.7E-2"/>
    <n v="0.185"/>
    <n v="4.6999999999999986E-2"/>
    <x v="1"/>
    <n v="0.25405405405405407"/>
  </r>
  <r>
    <n v="335210"/>
    <n v="335210"/>
    <x v="417"/>
    <n v="0.106"/>
    <n v="5.0999999999999997E-2"/>
    <n v="0.157"/>
    <n v="5.1000000000000004E-2"/>
    <x v="1"/>
    <n v="0.32484076433121017"/>
  </r>
  <r>
    <n v="335220"/>
    <n v="335220"/>
    <x v="418"/>
    <n v="0.13700000000000001"/>
    <n v="3.4000000000000002E-2"/>
    <n v="0.17199999999999999"/>
    <n v="3.4999999999999976E-2"/>
    <x v="1"/>
    <n v="0.19767441860465118"/>
  </r>
  <r>
    <n v="335311"/>
    <n v="335311"/>
    <x v="419"/>
    <n v="0.11799999999999999"/>
    <n v="1.4999999999999999E-2"/>
    <n v="0.13300000000000001"/>
    <n v="1.5000000000000013E-2"/>
    <x v="1"/>
    <n v="0.11278195488721804"/>
  </r>
  <r>
    <n v="335312"/>
    <n v="335312"/>
    <x v="420"/>
    <n v="0.13300000000000001"/>
    <n v="1.9E-2"/>
    <n v="0.152"/>
    <n v="1.8999999999999989E-2"/>
    <x v="1"/>
    <n v="0.125"/>
  </r>
  <r>
    <n v="335313"/>
    <n v="335313"/>
    <x v="421"/>
    <n v="0.153"/>
    <n v="2.1000000000000001E-2"/>
    <n v="0.17399999999999999"/>
    <n v="2.0999999999999991E-2"/>
    <x v="1"/>
    <n v="0.12068965517241381"/>
  </r>
  <r>
    <n v="335314"/>
    <n v="335314"/>
    <x v="422"/>
    <n v="0.12"/>
    <n v="1.7999999999999999E-2"/>
    <n v="0.13800000000000001"/>
    <n v="1.8000000000000016E-2"/>
    <x v="1"/>
    <n v="0.13043478260869562"/>
  </r>
  <r>
    <n v="335911"/>
    <n v="335911"/>
    <x v="423"/>
    <n v="0.311"/>
    <n v="2.5999999999999999E-2"/>
    <n v="0.33700000000000002"/>
    <n v="2.6000000000000023E-2"/>
    <x v="1"/>
    <n v="7.7151335311572686E-2"/>
  </r>
  <r>
    <n v="335912"/>
    <n v="335912"/>
    <x v="424"/>
    <n v="4.5999999999999999E-2"/>
    <n v="5.7000000000000002E-2"/>
    <n v="0.10299999999999999"/>
    <n v="5.6999999999999995E-2"/>
    <x v="1"/>
    <n v="0.55339805825242727"/>
  </r>
  <r>
    <n v="335921"/>
    <n v="335920"/>
    <x v="425"/>
    <n v="0.219"/>
    <n v="1.6E-2"/>
    <n v="0.23499999999999999"/>
    <n v="1.5999999999999986E-2"/>
    <x v="1"/>
    <n v="6.8085106382978725E-2"/>
  </r>
  <r>
    <n v="335929"/>
    <n v="335920"/>
    <x v="426"/>
    <n v="0.219"/>
    <n v="1.6E-2"/>
    <n v="0.23499999999999999"/>
    <n v="1.5999999999999986E-2"/>
    <x v="1"/>
    <n v="6.8085106382978725E-2"/>
  </r>
  <r>
    <n v="335931"/>
    <n v="335930"/>
    <x v="427"/>
    <n v="0.10199999999999999"/>
    <n v="2.5999999999999999E-2"/>
    <n v="0.127"/>
    <n v="2.5000000000000008E-2"/>
    <x v="1"/>
    <n v="0.20472440944881889"/>
  </r>
  <r>
    <n v="335932"/>
    <n v="335930"/>
    <x v="428"/>
    <n v="0.10199999999999999"/>
    <n v="2.5999999999999999E-2"/>
    <n v="0.127"/>
    <n v="2.5000000000000008E-2"/>
    <x v="1"/>
    <n v="0.20472440944881889"/>
  </r>
  <r>
    <n v="335991"/>
    <n v="335991"/>
    <x v="429"/>
    <n v="0.34699999999999998"/>
    <n v="1.6E-2"/>
    <n v="0.36299999999999999"/>
    <n v="1.6000000000000014E-2"/>
    <x v="1"/>
    <n v="4.4077134986225897E-2"/>
  </r>
  <r>
    <n v="335999"/>
    <n v="335999"/>
    <x v="430"/>
    <n v="0.112"/>
    <n v="1.6E-2"/>
    <n v="0.128"/>
    <n v="1.6E-2"/>
    <x v="1"/>
    <n v="0.125"/>
  </r>
  <r>
    <n v="336111"/>
    <n v="336111"/>
    <x v="431"/>
    <n v="0.19"/>
    <n v="0.05"/>
    <n v="0.24"/>
    <n v="4.9999999999999989E-2"/>
    <x v="1"/>
    <n v="0.20833333333333334"/>
  </r>
  <r>
    <n v="336112"/>
    <n v="336112"/>
    <x v="432"/>
    <n v="0.24099999999999999"/>
    <n v="2.7E-2"/>
    <n v="0.26800000000000002"/>
    <n v="2.7000000000000024E-2"/>
    <x v="1"/>
    <n v="0.10074626865671642"/>
  </r>
  <r>
    <n v="336120"/>
    <n v="336120"/>
    <x v="433"/>
    <n v="0.26200000000000001"/>
    <n v="1.0999999999999999E-2"/>
    <n v="0.27200000000000002"/>
    <n v="1.0000000000000009E-2"/>
    <x v="1"/>
    <n v="4.044117647058823E-2"/>
  </r>
  <r>
    <n v="336211"/>
    <n v="336211"/>
    <x v="434"/>
    <n v="0.22500000000000001"/>
    <n v="2.8000000000000001E-2"/>
    <n v="0.253"/>
    <n v="2.7999999999999997E-2"/>
    <x v="1"/>
    <n v="0.11067193675889328"/>
  </r>
  <r>
    <n v="336212"/>
    <n v="336212"/>
    <x v="435"/>
    <n v="0.185"/>
    <n v="1.4999999999999999E-2"/>
    <n v="0.2"/>
    <n v="1.5000000000000013E-2"/>
    <x v="1"/>
    <n v="7.4999999999999997E-2"/>
  </r>
  <r>
    <n v="336213"/>
    <n v="336213"/>
    <x v="436"/>
    <n v="5.5E-2"/>
    <n v="5.1999999999999998E-2"/>
    <n v="0.107"/>
    <n v="5.1999999999999998E-2"/>
    <x v="1"/>
    <n v="0.48598130841121495"/>
  </r>
  <r>
    <n v="336214"/>
    <n v="336214"/>
    <x v="437"/>
    <n v="0.128"/>
    <n v="3.3000000000000002E-2"/>
    <n v="0.16"/>
    <n v="3.2000000000000001E-2"/>
    <x v="1"/>
    <n v="0.20625000000000002"/>
  </r>
  <r>
    <n v="336310"/>
    <n v="336310"/>
    <x v="438"/>
    <n v="0.23"/>
    <n v="2.9000000000000001E-2"/>
    <n v="0.25900000000000001"/>
    <n v="2.8999999999999998E-2"/>
    <x v="1"/>
    <n v="0.11196911196911197"/>
  </r>
  <r>
    <n v="336320"/>
    <n v="336320"/>
    <x v="439"/>
    <n v="0.191"/>
    <n v="2.7E-2"/>
    <n v="0.218"/>
    <n v="2.6999999999999996E-2"/>
    <x v="1"/>
    <n v="0.1238532110091743"/>
  </r>
  <r>
    <n v="336330"/>
    <s v="3363A0"/>
    <x v="440"/>
    <n v="0.25"/>
    <n v="2.8000000000000001E-2"/>
    <n v="0.27800000000000002"/>
    <n v="2.8000000000000025E-2"/>
    <x v="1"/>
    <n v="0.10071942446043165"/>
  </r>
  <r>
    <n v="336340"/>
    <s v="3363A0"/>
    <x v="441"/>
    <n v="0.25"/>
    <n v="2.8000000000000001E-2"/>
    <n v="0.27800000000000002"/>
    <n v="2.8000000000000025E-2"/>
    <x v="1"/>
    <n v="0.10071942446043165"/>
  </r>
  <r>
    <n v="336350"/>
    <n v="336350"/>
    <x v="442"/>
    <n v="0.22600000000000001"/>
    <n v="2.7E-2"/>
    <n v="0.252"/>
    <n v="2.5999999999999995E-2"/>
    <x v="1"/>
    <n v="0.10714285714285714"/>
  </r>
  <r>
    <n v="336360"/>
    <n v="336360"/>
    <x v="443"/>
    <n v="0.315"/>
    <n v="1.7999999999999999E-2"/>
    <n v="0.33300000000000002"/>
    <n v="1.8000000000000016E-2"/>
    <x v="1"/>
    <n v="5.405405405405405E-2"/>
  </r>
  <r>
    <n v="336370"/>
    <n v="336370"/>
    <x v="444"/>
    <n v="0.48199999999999998"/>
    <n v="0.02"/>
    <n v="0.503"/>
    <n v="2.1000000000000019E-2"/>
    <x v="1"/>
    <n v="3.9761431411530816E-2"/>
  </r>
  <r>
    <n v="336390"/>
    <n v="336390"/>
    <x v="445"/>
    <n v="0.24199999999999999"/>
    <n v="2.4E-2"/>
    <n v="0.26500000000000001"/>
    <n v="2.300000000000002E-2"/>
    <x v="0"/>
    <n v="9.056603773584905E-2"/>
  </r>
  <r>
    <n v="336411"/>
    <n v="336411"/>
    <x v="446"/>
    <n v="0.13100000000000001"/>
    <n v="8.9999999999999993E-3"/>
    <n v="0.13900000000000001"/>
    <n v="8.0000000000000071E-3"/>
    <x v="1"/>
    <n v="6.4748201438848907E-2"/>
  </r>
  <r>
    <n v="336412"/>
    <n v="336412"/>
    <x v="447"/>
    <n v="0.151"/>
    <n v="5.0000000000000001E-3"/>
    <n v="0.156"/>
    <n v="5.0000000000000044E-3"/>
    <x v="1"/>
    <n v="3.2051282051282055E-2"/>
  </r>
  <r>
    <n v="336413"/>
    <n v="336413"/>
    <x v="448"/>
    <n v="0.16300000000000001"/>
    <n v="7.0000000000000001E-3"/>
    <n v="0.17"/>
    <n v="7.0000000000000062E-3"/>
    <x v="1"/>
    <n v="4.1176470588235294E-2"/>
  </r>
  <r>
    <n v="336414"/>
    <n v="336414"/>
    <x v="449"/>
    <n v="0.13300000000000001"/>
    <n v="8.9999999999999993E-3"/>
    <n v="0.14199999999999999"/>
    <n v="8.9999999999999802E-3"/>
    <x v="1"/>
    <n v="6.3380281690140844E-2"/>
  </r>
  <r>
    <n v="336415"/>
    <s v="33641A"/>
    <x v="450"/>
    <n v="0.28599999999999998"/>
    <n v="7.0000000000000001E-3"/>
    <n v="0.29399999999999998"/>
    <n v="8.0000000000000071E-3"/>
    <x v="1"/>
    <n v="2.3809523809523812E-2"/>
  </r>
  <r>
    <n v="336419"/>
    <s v="33641A"/>
    <x v="451"/>
    <n v="0.28599999999999998"/>
    <n v="7.0000000000000001E-3"/>
    <n v="0.29399999999999998"/>
    <n v="8.0000000000000071E-3"/>
    <x v="1"/>
    <n v="2.3809523809523812E-2"/>
  </r>
  <r>
    <n v="336510"/>
    <n v="336500"/>
    <x v="452"/>
    <n v="0.41299999999999998"/>
    <n v="3.1E-2"/>
    <n v="0.44400000000000001"/>
    <n v="3.1000000000000028E-2"/>
    <x v="1"/>
    <n v="6.9819819819819814E-2"/>
  </r>
  <r>
    <n v="336611"/>
    <n v="336611"/>
    <x v="453"/>
    <n v="0.187"/>
    <n v="8.0000000000000002E-3"/>
    <n v="0.19600000000000001"/>
    <n v="9.000000000000008E-3"/>
    <x v="1"/>
    <n v="4.0816326530612242E-2"/>
  </r>
  <r>
    <n v="336612"/>
    <n v="336612"/>
    <x v="454"/>
    <n v="0.15"/>
    <n v="3.2000000000000001E-2"/>
    <n v="0.182"/>
    <n v="3.2000000000000001E-2"/>
    <x v="1"/>
    <n v="0.17582417582417584"/>
  </r>
  <r>
    <n v="336991"/>
    <n v="336991"/>
    <x v="455"/>
    <n v="0.17799999999999999"/>
    <n v="4.3999999999999997E-2"/>
    <n v="0.222"/>
    <n v="4.4000000000000011E-2"/>
    <x v="1"/>
    <n v="0.19819819819819817"/>
  </r>
  <r>
    <n v="336992"/>
    <n v="336992"/>
    <x v="456"/>
    <n v="0.43099999999999999"/>
    <n v="1.2E-2"/>
    <n v="0.443"/>
    <n v="1.2000000000000011E-2"/>
    <x v="1"/>
    <n v="2.7088036117381489E-2"/>
  </r>
  <r>
    <n v="336999"/>
    <n v="336999"/>
    <x v="457"/>
    <n v="0.157"/>
    <n v="3.7999999999999999E-2"/>
    <n v="0.19500000000000001"/>
    <n v="3.8000000000000006E-2"/>
    <x v="1"/>
    <n v="0.19487179487179487"/>
  </r>
  <r>
    <n v="337110"/>
    <n v="337110"/>
    <x v="458"/>
    <n v="0.114"/>
    <n v="5.2999999999999999E-2"/>
    <n v="0.16600000000000001"/>
    <n v="5.2000000000000005E-2"/>
    <x v="1"/>
    <n v="0.31927710843373491"/>
  </r>
  <r>
    <n v="337121"/>
    <n v="337121"/>
    <x v="459"/>
    <n v="0.13300000000000001"/>
    <n v="5.5E-2"/>
    <n v="0.188"/>
    <n v="5.4999999999999993E-2"/>
    <x v="1"/>
    <n v="0.29255319148936171"/>
  </r>
  <r>
    <n v="337122"/>
    <n v="337122"/>
    <x v="460"/>
    <n v="0.121"/>
    <n v="5.7000000000000002E-2"/>
    <n v="0.17799999999999999"/>
    <n v="5.6999999999999995E-2"/>
    <x v="1"/>
    <n v="0.3202247191011236"/>
  </r>
  <r>
    <n v="337124"/>
    <s v="33712N"/>
    <x v="461"/>
    <n v="0.16800000000000001"/>
    <n v="5.8999999999999997E-2"/>
    <n v="0.22700000000000001"/>
    <n v="5.8999999999999997E-2"/>
    <x v="1"/>
    <n v="0.25991189427312772"/>
  </r>
  <r>
    <n v="337125"/>
    <s v="33712N"/>
    <x v="462"/>
    <n v="0.16800000000000001"/>
    <n v="5.8999999999999997E-2"/>
    <n v="0.22700000000000001"/>
    <n v="5.8999999999999997E-2"/>
    <x v="1"/>
    <n v="0.25991189427312772"/>
  </r>
  <r>
    <n v="337127"/>
    <n v="337127"/>
    <x v="463"/>
    <n v="0.20799999999999999"/>
    <n v="3.7999999999999999E-2"/>
    <n v="0.246"/>
    <n v="3.8000000000000006E-2"/>
    <x v="1"/>
    <n v="0.15447154471544716"/>
  </r>
  <r>
    <n v="337211"/>
    <s v="33721A"/>
    <x v="464"/>
    <n v="0.184"/>
    <n v="5.6000000000000001E-2"/>
    <n v="0.24"/>
    <n v="5.5999999999999994E-2"/>
    <x v="1"/>
    <n v="0.23333333333333334"/>
  </r>
  <r>
    <n v="337212"/>
    <s v="33721A"/>
    <x v="465"/>
    <n v="0.184"/>
    <n v="5.6000000000000001E-2"/>
    <n v="0.24"/>
    <n v="5.5999999999999994E-2"/>
    <x v="1"/>
    <n v="0.23333333333333334"/>
  </r>
  <r>
    <n v="337214"/>
    <s v="33721A"/>
    <x v="466"/>
    <n v="0.184"/>
    <n v="5.6000000000000001E-2"/>
    <n v="0.24"/>
    <n v="5.5999999999999994E-2"/>
    <x v="1"/>
    <n v="0.23333333333333334"/>
  </r>
  <r>
    <n v="337215"/>
    <n v="337215"/>
    <x v="467"/>
    <n v="0.20599999999999999"/>
    <n v="0.04"/>
    <n v="0.246"/>
    <n v="4.0000000000000008E-2"/>
    <x v="1"/>
    <n v="0.16260162601626016"/>
  </r>
  <r>
    <n v="337910"/>
    <n v="337900"/>
    <x v="468"/>
    <n v="0.11"/>
    <n v="6.3E-2"/>
    <n v="0.17299999999999999"/>
    <n v="6.2999999999999987E-2"/>
    <x v="1"/>
    <n v="0.3641618497109827"/>
  </r>
  <r>
    <n v="337920"/>
    <n v="337900"/>
    <x v="469"/>
    <n v="0.11"/>
    <n v="6.3E-2"/>
    <n v="0.17299999999999999"/>
    <n v="6.2999999999999987E-2"/>
    <x v="1"/>
    <n v="0.3641618497109827"/>
  </r>
  <r>
    <n v="339112"/>
    <n v="339112"/>
    <x v="470"/>
    <n v="0.11899999999999999"/>
    <n v="3.6999999999999998E-2"/>
    <n v="0.156"/>
    <n v="3.7000000000000005E-2"/>
    <x v="1"/>
    <n v="0.23717948717948717"/>
  </r>
  <r>
    <n v="339113"/>
    <n v="339113"/>
    <x v="471"/>
    <n v="9.6000000000000002E-2"/>
    <n v="4.4999999999999998E-2"/>
    <n v="0.14000000000000001"/>
    <n v="4.4000000000000011E-2"/>
    <x v="1"/>
    <n v="0.3214285714285714"/>
  </r>
  <r>
    <n v="339114"/>
    <n v="339114"/>
    <x v="472"/>
    <n v="0.14299999999999999"/>
    <n v="0.03"/>
    <n v="0.17399999999999999"/>
    <n v="3.1E-2"/>
    <x v="1"/>
    <n v="0.17241379310344829"/>
  </r>
  <r>
    <n v="339115"/>
    <n v="339115"/>
    <x v="473"/>
    <n v="8.5999999999999993E-2"/>
    <n v="5.1999999999999998E-2"/>
    <n v="0.13800000000000001"/>
    <n v="5.2000000000000018E-2"/>
    <x v="1"/>
    <n v="0.3768115942028985"/>
  </r>
  <r>
    <n v="339116"/>
    <n v="339116"/>
    <x v="474"/>
    <n v="8.3000000000000004E-2"/>
    <n v="3.4000000000000002E-2"/>
    <n v="0.11700000000000001"/>
    <n v="3.4000000000000002E-2"/>
    <x v="1"/>
    <n v="0.29059829059829062"/>
  </r>
  <r>
    <n v="339910"/>
    <n v="339910"/>
    <x v="475"/>
    <n v="5.5E-2"/>
    <n v="5.2999999999999999E-2"/>
    <n v="0.108"/>
    <n v="5.2999999999999999E-2"/>
    <x v="1"/>
    <n v="0.49074074074074076"/>
  </r>
  <r>
    <n v="339920"/>
    <n v="339920"/>
    <x v="476"/>
    <n v="0.104"/>
    <n v="6.4000000000000001E-2"/>
    <n v="0.16700000000000001"/>
    <n v="6.3000000000000014E-2"/>
    <x v="1"/>
    <n v="0.3832335329341317"/>
  </r>
  <r>
    <n v="339930"/>
    <n v="339930"/>
    <x v="477"/>
    <n v="8.5000000000000006E-2"/>
    <n v="6.0999999999999999E-2"/>
    <n v="0.14599999999999999"/>
    <n v="6.0999999999999985E-2"/>
    <x v="1"/>
    <n v="0.4178082191780822"/>
  </r>
  <r>
    <n v="339940"/>
    <n v="339940"/>
    <x v="478"/>
    <n v="0.20399999999999999"/>
    <n v="6.0999999999999999E-2"/>
    <n v="0.26500000000000001"/>
    <n v="6.1000000000000026E-2"/>
    <x v="1"/>
    <n v="0.230188679245283"/>
  </r>
  <r>
    <n v="339950"/>
    <n v="339950"/>
    <x v="479"/>
    <n v="0.187"/>
    <n v="6.3E-2"/>
    <n v="0.25"/>
    <n v="6.3E-2"/>
    <x v="1"/>
    <n v="0.252"/>
  </r>
  <r>
    <n v="339991"/>
    <n v="339990"/>
    <x v="480"/>
    <n v="0.121"/>
    <n v="6.0999999999999999E-2"/>
    <n v="0.182"/>
    <n v="6.0999999999999999E-2"/>
    <x v="1"/>
    <n v="0.33516483516483514"/>
  </r>
  <r>
    <n v="339992"/>
    <n v="339990"/>
    <x v="481"/>
    <n v="0.121"/>
    <n v="6.0999999999999999E-2"/>
    <n v="0.182"/>
    <n v="6.0999999999999999E-2"/>
    <x v="1"/>
    <n v="0.33516483516483514"/>
  </r>
  <r>
    <n v="339993"/>
    <n v="339990"/>
    <x v="482"/>
    <n v="0.121"/>
    <n v="6.0999999999999999E-2"/>
    <n v="0.182"/>
    <n v="6.0999999999999999E-2"/>
    <x v="1"/>
    <n v="0.33516483516483514"/>
  </r>
  <r>
    <n v="339994"/>
    <n v="339990"/>
    <x v="483"/>
    <n v="0.121"/>
    <n v="6.0999999999999999E-2"/>
    <n v="0.182"/>
    <n v="6.0999999999999999E-2"/>
    <x v="1"/>
    <n v="0.33516483516483514"/>
  </r>
  <r>
    <n v="339995"/>
    <n v="339990"/>
    <x v="484"/>
    <n v="0.121"/>
    <n v="6.0999999999999999E-2"/>
    <n v="0.182"/>
    <n v="6.0999999999999999E-2"/>
    <x v="1"/>
    <n v="0.33516483516483514"/>
  </r>
  <r>
    <n v="339999"/>
    <n v="339990"/>
    <x v="485"/>
    <n v="0.121"/>
    <n v="6.0999999999999999E-2"/>
    <n v="0.182"/>
    <n v="6.0999999999999999E-2"/>
    <x v="1"/>
    <n v="0.33516483516483514"/>
  </r>
  <r>
    <n v="423110"/>
    <n v="423100"/>
    <x v="486"/>
    <n v="0.115"/>
    <n v="0"/>
    <n v="0.115"/>
    <n v="0"/>
    <x v="1"/>
    <n v="0"/>
  </r>
  <r>
    <n v="423120"/>
    <n v="423100"/>
    <x v="487"/>
    <n v="0.115"/>
    <n v="0"/>
    <n v="0.115"/>
    <n v="0"/>
    <x v="1"/>
    <n v="0"/>
  </r>
  <r>
    <n v="423130"/>
    <n v="423100"/>
    <x v="488"/>
    <n v="0.115"/>
    <n v="0"/>
    <n v="0.115"/>
    <n v="0"/>
    <x v="1"/>
    <n v="0"/>
  </r>
  <r>
    <n v="423140"/>
    <n v="423100"/>
    <x v="489"/>
    <n v="0.115"/>
    <n v="0"/>
    <n v="0.115"/>
    <n v="0"/>
    <x v="1"/>
    <n v="0"/>
  </r>
  <r>
    <n v="423210"/>
    <s v="423A00"/>
    <x v="490"/>
    <n v="0.108"/>
    <n v="0"/>
    <n v="0.108"/>
    <n v="0"/>
    <x v="1"/>
    <n v="0"/>
  </r>
  <r>
    <n v="423220"/>
    <s v="423A00"/>
    <x v="491"/>
    <n v="0.108"/>
    <n v="0"/>
    <n v="0.108"/>
    <n v="0"/>
    <x v="1"/>
    <n v="0"/>
  </r>
  <r>
    <n v="423310"/>
    <s v="423A00"/>
    <x v="492"/>
    <n v="0.108"/>
    <n v="0"/>
    <n v="0.108"/>
    <n v="0"/>
    <x v="1"/>
    <n v="0"/>
  </r>
  <r>
    <n v="423320"/>
    <s v="423A00"/>
    <x v="493"/>
    <n v="0.108"/>
    <n v="0"/>
    <n v="0.108"/>
    <n v="0"/>
    <x v="1"/>
    <n v="0"/>
  </r>
  <r>
    <n v="423330"/>
    <s v="423A00"/>
    <x v="494"/>
    <n v="0.108"/>
    <n v="0"/>
    <n v="0.108"/>
    <n v="0"/>
    <x v="1"/>
    <n v="0"/>
  </r>
  <r>
    <n v="423390"/>
    <s v="423A00"/>
    <x v="495"/>
    <n v="0.108"/>
    <n v="0"/>
    <n v="0.108"/>
    <n v="0"/>
    <x v="1"/>
    <n v="0"/>
  </r>
  <r>
    <n v="423410"/>
    <n v="423400"/>
    <x v="496"/>
    <n v="7.3999999999999996E-2"/>
    <n v="0"/>
    <n v="7.3999999999999996E-2"/>
    <n v="0"/>
    <x v="1"/>
    <n v="0"/>
  </r>
  <r>
    <n v="423420"/>
    <n v="423400"/>
    <x v="497"/>
    <n v="7.3999999999999996E-2"/>
    <n v="0"/>
    <n v="7.3999999999999996E-2"/>
    <n v="0"/>
    <x v="1"/>
    <n v="0"/>
  </r>
  <r>
    <n v="423430"/>
    <n v="423400"/>
    <x v="498"/>
    <n v="7.3999999999999996E-2"/>
    <n v="0"/>
    <n v="7.3999999999999996E-2"/>
    <n v="0"/>
    <x v="1"/>
    <n v="0"/>
  </r>
  <r>
    <n v="423440"/>
    <n v="423400"/>
    <x v="499"/>
    <n v="7.3999999999999996E-2"/>
    <n v="0"/>
    <n v="7.3999999999999996E-2"/>
    <n v="0"/>
    <x v="1"/>
    <n v="0"/>
  </r>
  <r>
    <n v="423450"/>
    <n v="423400"/>
    <x v="500"/>
    <n v="7.3999999999999996E-2"/>
    <n v="0"/>
    <n v="7.3999999999999996E-2"/>
    <n v="0"/>
    <x v="1"/>
    <n v="0"/>
  </r>
  <r>
    <n v="423460"/>
    <n v="423400"/>
    <x v="501"/>
    <n v="7.3999999999999996E-2"/>
    <n v="0"/>
    <n v="7.3999999999999996E-2"/>
    <n v="0"/>
    <x v="1"/>
    <n v="0"/>
  </r>
  <r>
    <n v="423490"/>
    <n v="423400"/>
    <x v="502"/>
    <n v="7.3999999999999996E-2"/>
    <n v="0"/>
    <n v="7.3999999999999996E-2"/>
    <n v="0"/>
    <x v="1"/>
    <n v="0"/>
  </r>
  <r>
    <n v="423510"/>
    <s v="423A00"/>
    <x v="503"/>
    <n v="0.108"/>
    <n v="0"/>
    <n v="0.108"/>
    <n v="0"/>
    <x v="1"/>
    <n v="0"/>
  </r>
  <r>
    <n v="423520"/>
    <s v="423A00"/>
    <x v="504"/>
    <n v="0.108"/>
    <n v="0"/>
    <n v="0.108"/>
    <n v="0"/>
    <x v="1"/>
    <n v="0"/>
  </r>
  <r>
    <n v="423610"/>
    <n v="423600"/>
    <x v="505"/>
    <n v="8.3000000000000004E-2"/>
    <n v="0"/>
    <n v="8.3000000000000004E-2"/>
    <n v="0"/>
    <x v="1"/>
    <n v="0"/>
  </r>
  <r>
    <n v="423620"/>
    <n v="423600"/>
    <x v="506"/>
    <n v="8.3000000000000004E-2"/>
    <n v="0"/>
    <n v="8.3000000000000004E-2"/>
    <n v="0"/>
    <x v="1"/>
    <n v="0"/>
  </r>
  <r>
    <n v="423690"/>
    <n v="423600"/>
    <x v="507"/>
    <n v="8.3000000000000004E-2"/>
    <n v="0"/>
    <n v="8.3000000000000004E-2"/>
    <n v="0"/>
    <x v="1"/>
    <n v="0"/>
  </r>
  <r>
    <n v="423710"/>
    <s v="423A00"/>
    <x v="508"/>
    <n v="0.108"/>
    <n v="0"/>
    <n v="0.108"/>
    <n v="0"/>
    <x v="1"/>
    <n v="0"/>
  </r>
  <r>
    <n v="423720"/>
    <s v="423A00"/>
    <x v="509"/>
    <n v="0.108"/>
    <n v="0"/>
    <n v="0.108"/>
    <n v="0"/>
    <x v="1"/>
    <n v="0"/>
  </r>
  <r>
    <n v="423730"/>
    <s v="423A00"/>
    <x v="510"/>
    <n v="0.108"/>
    <n v="0"/>
    <n v="0.108"/>
    <n v="0"/>
    <x v="1"/>
    <n v="0"/>
  </r>
  <r>
    <n v="423740"/>
    <s v="423A00"/>
    <x v="511"/>
    <n v="0.108"/>
    <n v="0"/>
    <n v="0.108"/>
    <n v="0"/>
    <x v="1"/>
    <n v="0"/>
  </r>
  <r>
    <n v="423810"/>
    <n v="423800"/>
    <x v="512"/>
    <n v="0.115"/>
    <n v="0"/>
    <n v="0.115"/>
    <n v="0"/>
    <x v="1"/>
    <n v="0"/>
  </r>
  <r>
    <n v="423820"/>
    <n v="423800"/>
    <x v="513"/>
    <n v="0.115"/>
    <n v="0"/>
    <n v="0.115"/>
    <n v="0"/>
    <x v="1"/>
    <n v="0"/>
  </r>
  <r>
    <n v="423830"/>
    <n v="423800"/>
    <x v="514"/>
    <n v="0.115"/>
    <n v="0"/>
    <n v="0.115"/>
    <n v="0"/>
    <x v="1"/>
    <n v="0"/>
  </r>
  <r>
    <n v="423840"/>
    <n v="423800"/>
    <x v="515"/>
    <n v="0.115"/>
    <n v="0"/>
    <n v="0.115"/>
    <n v="0"/>
    <x v="1"/>
    <n v="0"/>
  </r>
  <r>
    <n v="423850"/>
    <n v="423800"/>
    <x v="516"/>
    <n v="0.115"/>
    <n v="0"/>
    <n v="0.115"/>
    <n v="0"/>
    <x v="1"/>
    <n v="0"/>
  </r>
  <r>
    <n v="423860"/>
    <n v="423800"/>
    <x v="517"/>
    <n v="0.115"/>
    <n v="0"/>
    <n v="0.115"/>
    <n v="0"/>
    <x v="1"/>
    <n v="0"/>
  </r>
  <r>
    <n v="423910"/>
    <s v="423A00"/>
    <x v="518"/>
    <n v="0.108"/>
    <n v="0"/>
    <n v="0.108"/>
    <n v="0"/>
    <x v="1"/>
    <n v="0"/>
  </r>
  <r>
    <n v="423920"/>
    <s v="423A00"/>
    <x v="519"/>
    <n v="0.108"/>
    <n v="0"/>
    <n v="0.108"/>
    <n v="0"/>
    <x v="1"/>
    <n v="0"/>
  </r>
  <r>
    <n v="423930"/>
    <s v="423A00"/>
    <x v="520"/>
    <n v="0.108"/>
    <n v="0"/>
    <n v="0.108"/>
    <n v="0"/>
    <x v="1"/>
    <n v="0"/>
  </r>
  <r>
    <n v="423940"/>
    <s v="423A00"/>
    <x v="521"/>
    <n v="0.108"/>
    <n v="0"/>
    <n v="0.108"/>
    <n v="0"/>
    <x v="1"/>
    <n v="0"/>
  </r>
  <r>
    <n v="423990"/>
    <s v="423A00"/>
    <x v="522"/>
    <n v="0.108"/>
    <n v="0"/>
    <n v="0.108"/>
    <n v="0"/>
    <x v="1"/>
    <n v="0"/>
  </r>
  <r>
    <n v="424110"/>
    <s v="424A00"/>
    <x v="523"/>
    <n v="0.14399999999999999"/>
    <n v="0"/>
    <n v="0.14399999999999999"/>
    <n v="0"/>
    <x v="1"/>
    <n v="0"/>
  </r>
  <r>
    <n v="424120"/>
    <s v="424A00"/>
    <x v="524"/>
    <n v="0.14399999999999999"/>
    <n v="0"/>
    <n v="0.14399999999999999"/>
    <n v="0"/>
    <x v="1"/>
    <n v="0"/>
  </r>
  <r>
    <n v="424130"/>
    <s v="424A00"/>
    <x v="525"/>
    <n v="0.14399999999999999"/>
    <n v="0"/>
    <n v="0.14399999999999999"/>
    <n v="0"/>
    <x v="1"/>
    <n v="0"/>
  </r>
  <r>
    <n v="424210"/>
    <n v="424200"/>
    <x v="526"/>
    <n v="9.5000000000000001E-2"/>
    <n v="0"/>
    <n v="9.5000000000000001E-2"/>
    <n v="0"/>
    <x v="1"/>
    <n v="0"/>
  </r>
  <r>
    <n v="424310"/>
    <s v="424A00"/>
    <x v="527"/>
    <n v="0.14399999999999999"/>
    <n v="0"/>
    <n v="0.14399999999999999"/>
    <n v="0"/>
    <x v="1"/>
    <n v="0"/>
  </r>
  <r>
    <n v="424320"/>
    <s v="424A00"/>
    <x v="528"/>
    <n v="0.14399999999999999"/>
    <n v="0"/>
    <n v="0.14399999999999999"/>
    <n v="0"/>
    <x v="1"/>
    <n v="0"/>
  </r>
  <r>
    <n v="424330"/>
    <s v="424A00"/>
    <x v="529"/>
    <n v="0.14399999999999999"/>
    <n v="0"/>
    <n v="0.14399999999999999"/>
    <n v="0"/>
    <x v="1"/>
    <n v="0"/>
  </r>
  <r>
    <n v="424340"/>
    <s v="424A00"/>
    <x v="530"/>
    <n v="0.14399999999999999"/>
    <n v="0"/>
    <n v="0.14399999999999999"/>
    <n v="0"/>
    <x v="1"/>
    <n v="0"/>
  </r>
  <r>
    <n v="424410"/>
    <n v="424400"/>
    <x v="531"/>
    <n v="0.159"/>
    <n v="0"/>
    <n v="0.159"/>
    <n v="0"/>
    <x v="1"/>
    <n v="0"/>
  </r>
  <r>
    <n v="424420"/>
    <n v="424400"/>
    <x v="532"/>
    <n v="0.159"/>
    <n v="0"/>
    <n v="0.159"/>
    <n v="0"/>
    <x v="1"/>
    <n v="0"/>
  </r>
  <r>
    <n v="424430"/>
    <n v="424400"/>
    <x v="533"/>
    <n v="0.159"/>
    <n v="0"/>
    <n v="0.159"/>
    <n v="0"/>
    <x v="1"/>
    <n v="0"/>
  </r>
  <r>
    <n v="424440"/>
    <n v="424400"/>
    <x v="534"/>
    <n v="0.159"/>
    <n v="0"/>
    <n v="0.159"/>
    <n v="0"/>
    <x v="1"/>
    <n v="0"/>
  </r>
  <r>
    <n v="424450"/>
    <n v="424400"/>
    <x v="535"/>
    <n v="0.159"/>
    <n v="0"/>
    <n v="0.159"/>
    <n v="0"/>
    <x v="1"/>
    <n v="0"/>
  </r>
  <r>
    <n v="424460"/>
    <n v="424400"/>
    <x v="536"/>
    <n v="0.159"/>
    <n v="0"/>
    <n v="0.159"/>
    <n v="0"/>
    <x v="1"/>
    <n v="0"/>
  </r>
  <r>
    <n v="424470"/>
    <n v="424400"/>
    <x v="537"/>
    <n v="0.159"/>
    <n v="0"/>
    <n v="0.159"/>
    <n v="0"/>
    <x v="1"/>
    <n v="0"/>
  </r>
  <r>
    <n v="424480"/>
    <n v="424400"/>
    <x v="538"/>
    <n v="0.159"/>
    <n v="0"/>
    <n v="0.159"/>
    <n v="0"/>
    <x v="1"/>
    <n v="0"/>
  </r>
  <r>
    <n v="424490"/>
    <n v="424400"/>
    <x v="539"/>
    <n v="0.159"/>
    <n v="0"/>
    <n v="0.159"/>
    <n v="0"/>
    <x v="1"/>
    <n v="0"/>
  </r>
  <r>
    <n v="424510"/>
    <s v="424A00"/>
    <x v="540"/>
    <n v="0.14399999999999999"/>
    <n v="0"/>
    <n v="0.14399999999999999"/>
    <n v="0"/>
    <x v="1"/>
    <n v="0"/>
  </r>
  <r>
    <n v="424520"/>
    <s v="424A00"/>
    <x v="541"/>
    <n v="0.14399999999999999"/>
    <n v="0"/>
    <n v="0.14399999999999999"/>
    <n v="0"/>
    <x v="1"/>
    <n v="0"/>
  </r>
  <r>
    <n v="424590"/>
    <s v="424A00"/>
    <x v="542"/>
    <n v="0.14399999999999999"/>
    <n v="0"/>
    <n v="0.14399999999999999"/>
    <n v="0"/>
    <x v="1"/>
    <n v="0"/>
  </r>
  <r>
    <n v="424610"/>
    <s v="424A00"/>
    <x v="543"/>
    <n v="0.14399999999999999"/>
    <n v="0"/>
    <n v="0.14399999999999999"/>
    <n v="0"/>
    <x v="1"/>
    <n v="0"/>
  </r>
  <r>
    <n v="424690"/>
    <s v="424A00"/>
    <x v="544"/>
    <n v="0.14399999999999999"/>
    <n v="0"/>
    <n v="0.14399999999999999"/>
    <n v="0"/>
    <x v="1"/>
    <n v="0"/>
  </r>
  <r>
    <n v="424710"/>
    <n v="424700"/>
    <x v="545"/>
    <n v="0.10199999999999999"/>
    <n v="0"/>
    <n v="0.10199999999999999"/>
    <n v="0"/>
    <x v="1"/>
    <n v="0"/>
  </r>
  <r>
    <n v="424720"/>
    <n v="424700"/>
    <x v="546"/>
    <n v="0.10199999999999999"/>
    <n v="0"/>
    <n v="0.10199999999999999"/>
    <n v="0"/>
    <x v="1"/>
    <n v="0"/>
  </r>
  <r>
    <n v="424810"/>
    <s v="424A00"/>
    <x v="547"/>
    <n v="0.14399999999999999"/>
    <n v="0"/>
    <n v="0.14399999999999999"/>
    <n v="0"/>
    <x v="1"/>
    <n v="0"/>
  </r>
  <r>
    <n v="424820"/>
    <s v="424A00"/>
    <x v="548"/>
    <n v="0.14399999999999999"/>
    <n v="0"/>
    <n v="0.14399999999999999"/>
    <n v="0"/>
    <x v="1"/>
    <n v="0"/>
  </r>
  <r>
    <n v="424910"/>
    <s v="424A00"/>
    <x v="549"/>
    <n v="0.14399999999999999"/>
    <n v="0"/>
    <n v="0.14399999999999999"/>
    <n v="0"/>
    <x v="1"/>
    <n v="0"/>
  </r>
  <r>
    <n v="424920"/>
    <s v="424A00"/>
    <x v="550"/>
    <n v="0.14399999999999999"/>
    <n v="0"/>
    <n v="0.14399999999999999"/>
    <n v="0"/>
    <x v="1"/>
    <n v="0"/>
  </r>
  <r>
    <n v="424930"/>
    <s v="424A00"/>
    <x v="551"/>
    <n v="0.14399999999999999"/>
    <n v="0"/>
    <n v="0.14399999999999999"/>
    <n v="0"/>
    <x v="1"/>
    <n v="0"/>
  </r>
  <r>
    <n v="424940"/>
    <s v="424A00"/>
    <x v="552"/>
    <n v="0.14399999999999999"/>
    <n v="0"/>
    <n v="0.14399999999999999"/>
    <n v="0"/>
    <x v="1"/>
    <n v="0"/>
  </r>
  <r>
    <n v="424950"/>
    <s v="424A00"/>
    <x v="553"/>
    <n v="0.14399999999999999"/>
    <n v="0"/>
    <n v="0.14399999999999999"/>
    <n v="0"/>
    <x v="1"/>
    <n v="0"/>
  </r>
  <r>
    <n v="424990"/>
    <s v="424A00"/>
    <x v="554"/>
    <n v="0.14399999999999999"/>
    <n v="0"/>
    <n v="0.14399999999999999"/>
    <n v="0"/>
    <x v="1"/>
    <n v="0"/>
  </r>
  <r>
    <n v="425110"/>
    <n v="425000"/>
    <x v="555"/>
    <n v="9.1999999999999998E-2"/>
    <n v="0"/>
    <n v="9.1999999999999998E-2"/>
    <n v="0"/>
    <x v="1"/>
    <n v="0"/>
  </r>
  <r>
    <n v="425120"/>
    <n v="425000"/>
    <x v="556"/>
    <n v="9.1999999999999998E-2"/>
    <n v="0"/>
    <n v="9.1999999999999998E-2"/>
    <n v="0"/>
    <x v="1"/>
    <n v="0"/>
  </r>
  <r>
    <n v="441110"/>
    <n v="441000"/>
    <x v="557"/>
    <n v="7.2999999999999995E-2"/>
    <n v="0"/>
    <n v="7.2999999999999995E-2"/>
    <n v="0"/>
    <x v="1"/>
    <n v="0"/>
  </r>
  <r>
    <n v="441120"/>
    <n v="441000"/>
    <x v="558"/>
    <n v="7.2999999999999995E-2"/>
    <n v="0"/>
    <n v="7.2999999999999995E-2"/>
    <n v="0"/>
    <x v="1"/>
    <n v="0"/>
  </r>
  <r>
    <n v="441210"/>
    <n v="441000"/>
    <x v="559"/>
    <n v="7.2999999999999995E-2"/>
    <n v="0"/>
    <n v="7.2999999999999995E-2"/>
    <n v="0"/>
    <x v="1"/>
    <n v="0"/>
  </r>
  <r>
    <n v="441222"/>
    <n v="441000"/>
    <x v="560"/>
    <n v="7.2999999999999995E-2"/>
    <n v="0"/>
    <n v="7.2999999999999995E-2"/>
    <n v="0"/>
    <x v="1"/>
    <n v="0"/>
  </r>
  <r>
    <n v="441228"/>
    <n v="441000"/>
    <x v="561"/>
    <n v="7.2999999999999995E-2"/>
    <n v="0"/>
    <n v="7.2999999999999995E-2"/>
    <n v="0"/>
    <x v="1"/>
    <n v="0"/>
  </r>
  <r>
    <n v="441310"/>
    <n v="441000"/>
    <x v="562"/>
    <n v="7.2999999999999995E-2"/>
    <n v="0"/>
    <n v="7.2999999999999995E-2"/>
    <n v="0"/>
    <x v="1"/>
    <n v="0"/>
  </r>
  <r>
    <n v="441320"/>
    <n v="441000"/>
    <x v="563"/>
    <n v="7.2999999999999995E-2"/>
    <n v="0"/>
    <n v="7.2999999999999995E-2"/>
    <n v="0"/>
    <x v="1"/>
    <n v="0"/>
  </r>
  <r>
    <n v="442110"/>
    <s v="4B0000"/>
    <x v="564"/>
    <n v="0.111"/>
    <n v="0"/>
    <n v="0.111"/>
    <n v="0"/>
    <x v="1"/>
    <n v="0"/>
  </r>
  <r>
    <n v="442210"/>
    <s v="4B0000"/>
    <x v="565"/>
    <n v="0.111"/>
    <n v="0"/>
    <n v="0.111"/>
    <n v="0"/>
    <x v="1"/>
    <n v="0"/>
  </r>
  <r>
    <n v="442291"/>
    <s v="4B0000"/>
    <x v="566"/>
    <n v="0.111"/>
    <n v="0"/>
    <n v="0.111"/>
    <n v="0"/>
    <x v="1"/>
    <n v="0"/>
  </r>
  <r>
    <n v="442299"/>
    <s v="4B0000"/>
    <x v="567"/>
    <n v="0.111"/>
    <n v="0"/>
    <n v="0.111"/>
    <n v="0"/>
    <x v="1"/>
    <n v="0"/>
  </r>
  <r>
    <n v="443141"/>
    <s v="4B0000"/>
    <x v="568"/>
    <n v="0.111"/>
    <n v="0"/>
    <n v="0.111"/>
    <n v="0"/>
    <x v="1"/>
    <n v="0"/>
  </r>
  <r>
    <n v="443142"/>
    <s v="4B0000"/>
    <x v="569"/>
    <n v="0.111"/>
    <n v="0"/>
    <n v="0.111"/>
    <n v="0"/>
    <x v="1"/>
    <n v="0"/>
  </r>
  <r>
    <n v="444110"/>
    <n v="444000"/>
    <x v="570"/>
    <n v="8.6999999999999994E-2"/>
    <n v="0"/>
    <n v="8.6999999999999994E-2"/>
    <n v="0"/>
    <x v="1"/>
    <n v="0"/>
  </r>
  <r>
    <n v="444120"/>
    <n v="444000"/>
    <x v="571"/>
    <n v="8.6999999999999994E-2"/>
    <n v="0"/>
    <n v="8.6999999999999994E-2"/>
    <n v="0"/>
    <x v="1"/>
    <n v="0"/>
  </r>
  <r>
    <n v="444130"/>
    <n v="444000"/>
    <x v="572"/>
    <n v="8.6999999999999994E-2"/>
    <n v="0"/>
    <n v="8.6999999999999994E-2"/>
    <n v="0"/>
    <x v="1"/>
    <n v="0"/>
  </r>
  <r>
    <n v="444190"/>
    <n v="444000"/>
    <x v="573"/>
    <n v="8.6999999999999994E-2"/>
    <n v="0"/>
    <n v="8.6999999999999994E-2"/>
    <n v="0"/>
    <x v="1"/>
    <n v="0"/>
  </r>
  <r>
    <n v="444210"/>
    <n v="444000"/>
    <x v="574"/>
    <n v="8.6999999999999994E-2"/>
    <n v="0"/>
    <n v="8.6999999999999994E-2"/>
    <n v="0"/>
    <x v="1"/>
    <n v="0"/>
  </r>
  <r>
    <n v="444220"/>
    <n v="444000"/>
    <x v="575"/>
    <n v="8.6999999999999994E-2"/>
    <n v="0"/>
    <n v="8.6999999999999994E-2"/>
    <n v="0"/>
    <x v="1"/>
    <n v="0"/>
  </r>
  <r>
    <n v="445110"/>
    <n v="445000"/>
    <x v="576"/>
    <n v="0.186"/>
    <n v="0"/>
    <n v="0.186"/>
    <n v="0"/>
    <x v="1"/>
    <n v="0"/>
  </r>
  <r>
    <n v="445120"/>
    <n v="445000"/>
    <x v="577"/>
    <n v="0.186"/>
    <n v="0"/>
    <n v="0.186"/>
    <n v="0"/>
    <x v="1"/>
    <n v="0"/>
  </r>
  <r>
    <n v="445210"/>
    <n v="445000"/>
    <x v="578"/>
    <n v="0.186"/>
    <n v="0"/>
    <n v="0.186"/>
    <n v="0"/>
    <x v="1"/>
    <n v="0"/>
  </r>
  <r>
    <n v="445220"/>
    <n v="445000"/>
    <x v="579"/>
    <n v="0.186"/>
    <n v="0"/>
    <n v="0.186"/>
    <n v="0"/>
    <x v="1"/>
    <n v="0"/>
  </r>
  <r>
    <n v="445230"/>
    <n v="445000"/>
    <x v="580"/>
    <n v="0.186"/>
    <n v="0"/>
    <n v="0.186"/>
    <n v="0"/>
    <x v="1"/>
    <n v="0"/>
  </r>
  <r>
    <n v="445291"/>
    <n v="445000"/>
    <x v="581"/>
    <n v="0.186"/>
    <n v="0"/>
    <n v="0.186"/>
    <n v="0"/>
    <x v="1"/>
    <n v="0"/>
  </r>
  <r>
    <n v="445292"/>
    <n v="445000"/>
    <x v="582"/>
    <n v="0.186"/>
    <n v="0"/>
    <n v="0.186"/>
    <n v="0"/>
    <x v="1"/>
    <n v="0"/>
  </r>
  <r>
    <n v="445299"/>
    <n v="445000"/>
    <x v="583"/>
    <n v="0.186"/>
    <n v="0"/>
    <n v="0.186"/>
    <n v="0"/>
    <x v="1"/>
    <n v="0"/>
  </r>
  <r>
    <n v="445310"/>
    <n v="445000"/>
    <x v="584"/>
    <n v="0.186"/>
    <n v="0"/>
    <n v="0.186"/>
    <n v="0"/>
    <x v="1"/>
    <n v="0"/>
  </r>
  <r>
    <n v="446110"/>
    <n v="446000"/>
    <x v="585"/>
    <n v="0.13"/>
    <n v="0"/>
    <n v="0.13"/>
    <n v="0"/>
    <x v="1"/>
    <n v="0"/>
  </r>
  <r>
    <n v="446120"/>
    <n v="446000"/>
    <x v="586"/>
    <n v="0.13"/>
    <n v="0"/>
    <n v="0.13"/>
    <n v="0"/>
    <x v="1"/>
    <n v="0"/>
  </r>
  <r>
    <n v="446130"/>
    <n v="446000"/>
    <x v="587"/>
    <n v="0.13"/>
    <n v="0"/>
    <n v="0.13"/>
    <n v="0"/>
    <x v="1"/>
    <n v="0"/>
  </r>
  <r>
    <n v="446191"/>
    <n v="446000"/>
    <x v="588"/>
    <n v="0.13"/>
    <n v="0"/>
    <n v="0.13"/>
    <n v="0"/>
    <x v="1"/>
    <n v="0"/>
  </r>
  <r>
    <n v="446199"/>
    <n v="446000"/>
    <x v="589"/>
    <n v="0.13"/>
    <n v="0"/>
    <n v="0.13"/>
    <n v="0"/>
    <x v="1"/>
    <n v="0"/>
  </r>
  <r>
    <n v="447110"/>
    <n v="447000"/>
    <x v="590"/>
    <n v="0.183"/>
    <n v="0"/>
    <n v="0.183"/>
    <n v="0"/>
    <x v="1"/>
    <n v="0"/>
  </r>
  <r>
    <n v="447190"/>
    <n v="447000"/>
    <x v="591"/>
    <n v="0.183"/>
    <n v="0"/>
    <n v="0.183"/>
    <n v="0"/>
    <x v="1"/>
    <n v="0"/>
  </r>
  <r>
    <n v="448110"/>
    <n v="448000"/>
    <x v="592"/>
    <n v="0.13800000000000001"/>
    <n v="0"/>
    <n v="0.13800000000000001"/>
    <n v="0"/>
    <x v="1"/>
    <n v="0"/>
  </r>
  <r>
    <n v="448120"/>
    <n v="448000"/>
    <x v="593"/>
    <n v="0.13800000000000001"/>
    <n v="0"/>
    <n v="0.13800000000000001"/>
    <n v="0"/>
    <x v="1"/>
    <n v="0"/>
  </r>
  <r>
    <n v="448130"/>
    <n v="448000"/>
    <x v="594"/>
    <n v="0.13800000000000001"/>
    <n v="0"/>
    <n v="0.13800000000000001"/>
    <n v="0"/>
    <x v="1"/>
    <n v="0"/>
  </r>
  <r>
    <n v="448140"/>
    <n v="448000"/>
    <x v="595"/>
    <n v="0.13800000000000001"/>
    <n v="0"/>
    <n v="0.13800000000000001"/>
    <n v="0"/>
    <x v="1"/>
    <n v="0"/>
  </r>
  <r>
    <n v="448150"/>
    <n v="448000"/>
    <x v="596"/>
    <n v="0.13800000000000001"/>
    <n v="0"/>
    <n v="0.13800000000000001"/>
    <n v="0"/>
    <x v="1"/>
    <n v="0"/>
  </r>
  <r>
    <n v="448190"/>
    <n v="448000"/>
    <x v="597"/>
    <n v="0.13800000000000001"/>
    <n v="0"/>
    <n v="0.13800000000000001"/>
    <n v="0"/>
    <x v="1"/>
    <n v="0"/>
  </r>
  <r>
    <n v="448210"/>
    <n v="448000"/>
    <x v="598"/>
    <n v="0.13800000000000001"/>
    <n v="0"/>
    <n v="0.13800000000000001"/>
    <n v="0"/>
    <x v="1"/>
    <n v="0"/>
  </r>
  <r>
    <n v="448310"/>
    <n v="448000"/>
    <x v="599"/>
    <n v="0.13800000000000001"/>
    <n v="0"/>
    <n v="0.13800000000000001"/>
    <n v="0"/>
    <x v="1"/>
    <n v="0"/>
  </r>
  <r>
    <n v="448320"/>
    <n v="448000"/>
    <x v="600"/>
    <n v="0.13800000000000001"/>
    <n v="0"/>
    <n v="0.13800000000000001"/>
    <n v="0"/>
    <x v="1"/>
    <n v="0"/>
  </r>
  <r>
    <n v="451110"/>
    <s v="4B0000"/>
    <x v="601"/>
    <n v="0.111"/>
    <n v="0"/>
    <n v="0.111"/>
    <n v="0"/>
    <x v="1"/>
    <n v="0"/>
  </r>
  <r>
    <n v="451120"/>
    <s v="4B0000"/>
    <x v="602"/>
    <n v="0.111"/>
    <n v="0"/>
    <n v="0.111"/>
    <n v="0"/>
    <x v="1"/>
    <n v="0"/>
  </r>
  <r>
    <n v="451130"/>
    <s v="4B0000"/>
    <x v="603"/>
    <n v="0.111"/>
    <n v="0"/>
    <n v="0.111"/>
    <n v="0"/>
    <x v="1"/>
    <n v="0"/>
  </r>
  <r>
    <n v="451140"/>
    <s v="4B0000"/>
    <x v="604"/>
    <n v="0.111"/>
    <n v="0"/>
    <n v="0.111"/>
    <n v="0"/>
    <x v="1"/>
    <n v="0"/>
  </r>
  <r>
    <n v="451211"/>
    <s v="4B0000"/>
    <x v="605"/>
    <n v="0.111"/>
    <n v="0"/>
    <n v="0.111"/>
    <n v="0"/>
    <x v="1"/>
    <n v="0"/>
  </r>
  <r>
    <n v="451212"/>
    <s v="4B0000"/>
    <x v="606"/>
    <n v="0.111"/>
    <n v="0"/>
    <n v="0.111"/>
    <n v="0"/>
    <x v="1"/>
    <n v="0"/>
  </r>
  <r>
    <n v="452210"/>
    <n v="452000"/>
    <x v="607"/>
    <n v="0.16400000000000001"/>
    <n v="0"/>
    <n v="0.16400000000000001"/>
    <n v="0"/>
    <x v="1"/>
    <n v="0"/>
  </r>
  <r>
    <n v="452311"/>
    <n v="452000"/>
    <x v="608"/>
    <n v="0.16400000000000001"/>
    <n v="0"/>
    <n v="0.16400000000000001"/>
    <n v="0"/>
    <x v="1"/>
    <n v="0"/>
  </r>
  <r>
    <n v="452319"/>
    <n v="452000"/>
    <x v="609"/>
    <n v="0.16400000000000001"/>
    <n v="0"/>
    <n v="0.16400000000000001"/>
    <n v="0"/>
    <x v="1"/>
    <n v="0"/>
  </r>
  <r>
    <n v="453110"/>
    <s v="4B0000"/>
    <x v="610"/>
    <n v="0.111"/>
    <n v="0"/>
    <n v="0.111"/>
    <n v="0"/>
    <x v="1"/>
    <n v="0"/>
  </r>
  <r>
    <n v="453210"/>
    <s v="4B0000"/>
    <x v="611"/>
    <n v="0.111"/>
    <n v="0"/>
    <n v="0.111"/>
    <n v="0"/>
    <x v="1"/>
    <n v="0"/>
  </r>
  <r>
    <n v="453220"/>
    <s v="4B0000"/>
    <x v="612"/>
    <n v="0.111"/>
    <n v="0"/>
    <n v="0.111"/>
    <n v="0"/>
    <x v="1"/>
    <n v="0"/>
  </r>
  <r>
    <n v="453310"/>
    <s v="4B0000"/>
    <x v="613"/>
    <n v="0.111"/>
    <n v="0"/>
    <n v="0.111"/>
    <n v="0"/>
    <x v="1"/>
    <n v="0"/>
  </r>
  <r>
    <n v="453910"/>
    <s v="4B0000"/>
    <x v="614"/>
    <n v="0.111"/>
    <n v="0"/>
    <n v="0.111"/>
    <n v="0"/>
    <x v="1"/>
    <n v="0"/>
  </r>
  <r>
    <n v="453920"/>
    <s v="4B0000"/>
    <x v="615"/>
    <n v="0.111"/>
    <n v="0"/>
    <n v="0.111"/>
    <n v="0"/>
    <x v="1"/>
    <n v="0"/>
  </r>
  <r>
    <n v="453930"/>
    <s v="4B0000"/>
    <x v="616"/>
    <n v="0.111"/>
    <n v="0"/>
    <n v="0.111"/>
    <n v="0"/>
    <x v="1"/>
    <n v="0"/>
  </r>
  <r>
    <n v="453991"/>
    <s v="4B0000"/>
    <x v="617"/>
    <n v="0.111"/>
    <n v="0"/>
    <n v="0.111"/>
    <n v="0"/>
    <x v="1"/>
    <n v="0"/>
  </r>
  <r>
    <n v="453998"/>
    <s v="4B0000"/>
    <x v="618"/>
    <n v="0.111"/>
    <n v="0"/>
    <n v="0.111"/>
    <n v="0"/>
    <x v="1"/>
    <n v="0"/>
  </r>
  <r>
    <n v="454110"/>
    <n v="454000"/>
    <x v="619"/>
    <n v="9.4E-2"/>
    <n v="0"/>
    <n v="9.4E-2"/>
    <n v="0"/>
    <x v="1"/>
    <n v="0"/>
  </r>
  <r>
    <n v="454210"/>
    <n v="454000"/>
    <x v="620"/>
    <n v="9.4E-2"/>
    <n v="0"/>
    <n v="9.4E-2"/>
    <n v="0"/>
    <x v="1"/>
    <n v="0"/>
  </r>
  <r>
    <n v="454310"/>
    <n v="454000"/>
    <x v="621"/>
    <n v="9.4E-2"/>
    <n v="0"/>
    <n v="9.4E-2"/>
    <n v="0"/>
    <x v="1"/>
    <n v="0"/>
  </r>
  <r>
    <n v="454390"/>
    <n v="454000"/>
    <x v="622"/>
    <n v="9.4E-2"/>
    <n v="0"/>
    <n v="9.4E-2"/>
    <n v="0"/>
    <x v="1"/>
    <n v="0"/>
  </r>
  <r>
    <n v="481111"/>
    <n v="481000"/>
    <x v="623"/>
    <n v="0.64400000000000002"/>
    <n v="0"/>
    <n v="0.64400000000000002"/>
    <n v="0"/>
    <x v="1"/>
    <n v="0"/>
  </r>
  <r>
    <n v="481112"/>
    <n v="481000"/>
    <x v="624"/>
    <n v="0.64400000000000002"/>
    <n v="0"/>
    <n v="0.64400000000000002"/>
    <n v="0"/>
    <x v="0"/>
    <n v="0"/>
  </r>
  <r>
    <n v="481211"/>
    <n v="481000"/>
    <x v="625"/>
    <n v="0.64400000000000002"/>
    <n v="0"/>
    <n v="0.64400000000000002"/>
    <n v="0"/>
    <x v="0"/>
    <n v="0"/>
  </r>
  <r>
    <n v="481212"/>
    <n v="481000"/>
    <x v="626"/>
    <n v="0.64400000000000002"/>
    <n v="0"/>
    <n v="0.64400000000000002"/>
    <n v="0"/>
    <x v="0"/>
    <n v="0"/>
  </r>
  <r>
    <n v="481219"/>
    <n v="481000"/>
    <x v="627"/>
    <n v="0.64400000000000002"/>
    <n v="0"/>
    <n v="0.64400000000000002"/>
    <n v="0"/>
    <x v="0"/>
    <n v="0"/>
  </r>
  <r>
    <n v="482111"/>
    <n v="482000"/>
    <x v="628"/>
    <n v="0.46600000000000003"/>
    <n v="0"/>
    <n v="0.46600000000000003"/>
    <n v="0"/>
    <x v="0"/>
    <n v="0"/>
  </r>
  <r>
    <n v="482112"/>
    <n v="482000"/>
    <x v="629"/>
    <n v="0.46600000000000003"/>
    <n v="0"/>
    <n v="0.46600000000000003"/>
    <n v="0"/>
    <x v="1"/>
    <n v="0"/>
  </r>
  <r>
    <n v="483111"/>
    <n v="483000"/>
    <x v="630"/>
    <n v="0.81599999999999995"/>
    <n v="0"/>
    <n v="0.81599999999999995"/>
    <n v="0"/>
    <x v="1"/>
    <n v="0"/>
  </r>
  <r>
    <n v="483112"/>
    <n v="483000"/>
    <x v="631"/>
    <n v="0.81599999999999995"/>
    <n v="0"/>
    <n v="0.81599999999999995"/>
    <n v="0"/>
    <x v="0"/>
    <n v="0"/>
  </r>
  <r>
    <n v="483113"/>
    <n v="483000"/>
    <x v="632"/>
    <n v="0.81599999999999995"/>
    <n v="0"/>
    <n v="0.81599999999999995"/>
    <n v="0"/>
    <x v="0"/>
    <n v="0"/>
  </r>
  <r>
    <n v="483114"/>
    <n v="483000"/>
    <x v="633"/>
    <n v="0.81599999999999995"/>
    <n v="0"/>
    <n v="0.81599999999999995"/>
    <n v="0"/>
    <x v="0"/>
    <n v="0"/>
  </r>
  <r>
    <n v="483211"/>
    <n v="483000"/>
    <x v="634"/>
    <n v="0.81599999999999995"/>
    <n v="0"/>
    <n v="0.81599999999999995"/>
    <n v="0"/>
    <x v="0"/>
    <n v="0"/>
  </r>
  <r>
    <n v="483212"/>
    <n v="483000"/>
    <x v="635"/>
    <n v="0.81599999999999995"/>
    <n v="0"/>
    <n v="0.81599999999999995"/>
    <n v="0"/>
    <x v="0"/>
    <n v="0"/>
  </r>
  <r>
    <n v="484110"/>
    <n v="484000"/>
    <x v="636"/>
    <n v="0.59499999999999997"/>
    <n v="0"/>
    <n v="0.59499999999999997"/>
    <n v="0"/>
    <x v="0"/>
    <n v="0"/>
  </r>
  <r>
    <n v="484121"/>
    <n v="484000"/>
    <x v="637"/>
    <n v="0.59499999999999997"/>
    <n v="0"/>
    <n v="0.59499999999999997"/>
    <n v="0"/>
    <x v="0"/>
    <n v="0"/>
  </r>
  <r>
    <n v="484122"/>
    <n v="484000"/>
    <x v="638"/>
    <n v="0.59499999999999997"/>
    <n v="0"/>
    <n v="0.59499999999999997"/>
    <n v="0"/>
    <x v="0"/>
    <n v="0"/>
  </r>
  <r>
    <n v="484210"/>
    <n v="484000"/>
    <x v="639"/>
    <n v="0.59499999999999997"/>
    <n v="0"/>
    <n v="0.59499999999999997"/>
    <n v="0"/>
    <x v="0"/>
    <n v="0"/>
  </r>
  <r>
    <n v="484220"/>
    <n v="484000"/>
    <x v="640"/>
    <n v="0.59499999999999997"/>
    <n v="0"/>
    <n v="0.59499999999999997"/>
    <n v="0"/>
    <x v="0"/>
    <n v="0"/>
  </r>
  <r>
    <n v="484230"/>
    <n v="484000"/>
    <x v="641"/>
    <n v="0.59499999999999997"/>
    <n v="0"/>
    <n v="0.59499999999999997"/>
    <n v="0"/>
    <x v="0"/>
    <n v="0"/>
  </r>
  <r>
    <n v="485111"/>
    <n v="485000"/>
    <x v="642"/>
    <n v="0.56599999999999995"/>
    <n v="0"/>
    <n v="0.56599999999999995"/>
    <n v="0"/>
    <x v="0"/>
    <n v="0"/>
  </r>
  <r>
    <n v="485112"/>
    <n v="485000"/>
    <x v="643"/>
    <n v="0.56599999999999995"/>
    <n v="0"/>
    <n v="0.56599999999999995"/>
    <n v="0"/>
    <x v="0"/>
    <n v="0"/>
  </r>
  <r>
    <n v="485113"/>
    <n v="485000"/>
    <x v="644"/>
    <n v="0.56599999999999995"/>
    <n v="0"/>
    <n v="0.56599999999999995"/>
    <n v="0"/>
    <x v="0"/>
    <n v="0"/>
  </r>
  <r>
    <n v="485119"/>
    <n v="485000"/>
    <x v="645"/>
    <n v="0.56599999999999995"/>
    <n v="0"/>
    <n v="0.56599999999999995"/>
    <n v="0"/>
    <x v="0"/>
    <n v="0"/>
  </r>
  <r>
    <n v="485210"/>
    <n v="485000"/>
    <x v="646"/>
    <n v="0.56599999999999995"/>
    <n v="0"/>
    <n v="0.56599999999999995"/>
    <n v="0"/>
    <x v="0"/>
    <n v="0"/>
  </r>
  <r>
    <n v="485310"/>
    <n v="485000"/>
    <x v="647"/>
    <n v="0.56599999999999995"/>
    <n v="0"/>
    <n v="0.56599999999999995"/>
    <n v="0"/>
    <x v="0"/>
    <n v="0"/>
  </r>
  <r>
    <n v="485320"/>
    <n v="485000"/>
    <x v="648"/>
    <n v="0.56599999999999995"/>
    <n v="0"/>
    <n v="0.56599999999999995"/>
    <n v="0"/>
    <x v="0"/>
    <n v="0"/>
  </r>
  <r>
    <n v="485410"/>
    <n v="485000"/>
    <x v="649"/>
    <n v="0.56599999999999995"/>
    <n v="0"/>
    <n v="0.56599999999999995"/>
    <n v="0"/>
    <x v="0"/>
    <n v="0"/>
  </r>
  <r>
    <n v="485510"/>
    <n v="485000"/>
    <x v="650"/>
    <n v="0.56599999999999995"/>
    <n v="0"/>
    <n v="0.56599999999999995"/>
    <n v="0"/>
    <x v="0"/>
    <n v="0"/>
  </r>
  <r>
    <n v="485991"/>
    <n v="485000"/>
    <x v="651"/>
    <n v="0.56599999999999995"/>
    <n v="0"/>
    <n v="0.56599999999999995"/>
    <n v="0"/>
    <x v="0"/>
    <n v="0"/>
  </r>
  <r>
    <n v="485999"/>
    <n v="485000"/>
    <x v="652"/>
    <n v="0.56599999999999995"/>
    <n v="0"/>
    <n v="0.56599999999999995"/>
    <n v="0"/>
    <x v="0"/>
    <n v="0"/>
  </r>
  <r>
    <n v="486110"/>
    <n v="486000"/>
    <x v="653"/>
    <n v="1.619"/>
    <n v="0"/>
    <n v="1.619"/>
    <n v="0"/>
    <x v="0"/>
    <n v="0"/>
  </r>
  <r>
    <n v="486210"/>
    <n v="486000"/>
    <x v="654"/>
    <n v="1.619"/>
    <n v="0"/>
    <n v="1.619"/>
    <n v="0"/>
    <x v="0"/>
    <n v="0"/>
  </r>
  <r>
    <n v="486910"/>
    <n v="486000"/>
    <x v="655"/>
    <n v="1.619"/>
    <n v="0"/>
    <n v="1.619"/>
    <n v="0"/>
    <x v="0"/>
    <n v="0"/>
  </r>
  <r>
    <n v="486990"/>
    <n v="486000"/>
    <x v="656"/>
    <n v="1.619"/>
    <n v="0"/>
    <n v="1.619"/>
    <n v="0"/>
    <x v="0"/>
    <n v="0"/>
  </r>
  <r>
    <n v="487110"/>
    <s v="48A000"/>
    <x v="657"/>
    <n v="0.16200000000000001"/>
    <n v="0"/>
    <n v="0.16200000000000001"/>
    <n v="0"/>
    <x v="0"/>
    <n v="0"/>
  </r>
  <r>
    <n v="487210"/>
    <s v="48A000"/>
    <x v="658"/>
    <n v="0.16200000000000001"/>
    <n v="0"/>
    <n v="0.16200000000000001"/>
    <n v="0"/>
    <x v="1"/>
    <n v="0"/>
  </r>
  <r>
    <n v="487990"/>
    <s v="48A000"/>
    <x v="659"/>
    <n v="0.16200000000000001"/>
    <n v="0"/>
    <n v="0.16200000000000001"/>
    <n v="0"/>
    <x v="1"/>
    <n v="0"/>
  </r>
  <r>
    <n v="488111"/>
    <s v="48A000"/>
    <x v="660"/>
    <n v="0.16200000000000001"/>
    <n v="0"/>
    <n v="0.16200000000000001"/>
    <n v="0"/>
    <x v="1"/>
    <n v="0"/>
  </r>
  <r>
    <n v="488119"/>
    <s v="48A000"/>
    <x v="661"/>
    <n v="0.16200000000000001"/>
    <n v="0"/>
    <n v="0.16200000000000001"/>
    <n v="0"/>
    <x v="1"/>
    <n v="0"/>
  </r>
  <r>
    <n v="488190"/>
    <s v="48A000"/>
    <x v="662"/>
    <n v="0.16200000000000001"/>
    <n v="0"/>
    <n v="0.16200000000000001"/>
    <n v="0"/>
    <x v="1"/>
    <n v="0"/>
  </r>
  <r>
    <n v="488210"/>
    <s v="48A000"/>
    <x v="663"/>
    <n v="0.16200000000000001"/>
    <n v="0"/>
    <n v="0.16200000000000001"/>
    <n v="0"/>
    <x v="1"/>
    <n v="0"/>
  </r>
  <r>
    <n v="488310"/>
    <s v="48A000"/>
    <x v="664"/>
    <n v="0.16200000000000001"/>
    <n v="0"/>
    <n v="0.16200000000000001"/>
    <n v="0"/>
    <x v="1"/>
    <n v="0"/>
  </r>
  <r>
    <n v="488320"/>
    <s v="48A000"/>
    <x v="665"/>
    <n v="0.16200000000000001"/>
    <n v="0"/>
    <n v="0.16200000000000001"/>
    <n v="0"/>
    <x v="1"/>
    <n v="0"/>
  </r>
  <r>
    <n v="488330"/>
    <s v="48A000"/>
    <x v="666"/>
    <n v="0.16200000000000001"/>
    <n v="0"/>
    <n v="0.16200000000000001"/>
    <n v="0"/>
    <x v="1"/>
    <n v="0"/>
  </r>
  <r>
    <n v="488390"/>
    <s v="48A000"/>
    <x v="667"/>
    <n v="0.16200000000000001"/>
    <n v="0"/>
    <n v="0.16200000000000001"/>
    <n v="0"/>
    <x v="1"/>
    <n v="0"/>
  </r>
  <r>
    <n v="488410"/>
    <s v="48A000"/>
    <x v="668"/>
    <n v="0.16200000000000001"/>
    <n v="0"/>
    <n v="0.16200000000000001"/>
    <n v="0"/>
    <x v="1"/>
    <n v="0"/>
  </r>
  <r>
    <n v="488490"/>
    <s v="48A000"/>
    <x v="669"/>
    <n v="0.16200000000000001"/>
    <n v="0"/>
    <n v="0.16200000000000001"/>
    <n v="0"/>
    <x v="1"/>
    <n v="0"/>
  </r>
  <r>
    <n v="488510"/>
    <s v="48A000"/>
    <x v="670"/>
    <n v="0.16200000000000001"/>
    <n v="0"/>
    <n v="0.16200000000000001"/>
    <n v="0"/>
    <x v="1"/>
    <n v="0"/>
  </r>
  <r>
    <n v="488991"/>
    <s v="48A000"/>
    <x v="671"/>
    <n v="0.16200000000000001"/>
    <n v="0"/>
    <n v="0.16200000000000001"/>
    <n v="0"/>
    <x v="1"/>
    <n v="0"/>
  </r>
  <r>
    <n v="488999"/>
    <s v="48A000"/>
    <x v="672"/>
    <n v="0.16200000000000001"/>
    <n v="0"/>
    <n v="0.16200000000000001"/>
    <n v="0"/>
    <x v="1"/>
    <n v="0"/>
  </r>
  <r>
    <n v="491110"/>
    <n v="491000"/>
    <x v="673"/>
    <n v="7.3999999999999996E-2"/>
    <n v="0"/>
    <n v="7.3999999999999996E-2"/>
    <n v="0"/>
    <x v="1"/>
    <n v="0"/>
  </r>
  <r>
    <n v="492110"/>
    <n v="492000"/>
    <x v="674"/>
    <n v="0.30299999999999999"/>
    <n v="0"/>
    <n v="0.30299999999999999"/>
    <n v="0"/>
    <x v="1"/>
    <n v="0"/>
  </r>
  <r>
    <n v="492210"/>
    <n v="492000"/>
    <x v="675"/>
    <n v="0.30299999999999999"/>
    <n v="0"/>
    <n v="0.30299999999999999"/>
    <n v="0"/>
    <x v="1"/>
    <n v="0"/>
  </r>
  <r>
    <n v="493110"/>
    <n v="493000"/>
    <x v="676"/>
    <n v="0.24399999999999999"/>
    <n v="0"/>
    <n v="0.24399999999999999"/>
    <n v="0"/>
    <x v="1"/>
    <n v="0"/>
  </r>
  <r>
    <n v="493120"/>
    <n v="493000"/>
    <x v="677"/>
    <n v="0.24399999999999999"/>
    <n v="0"/>
    <n v="0.24399999999999999"/>
    <n v="0"/>
    <x v="1"/>
    <n v="0"/>
  </r>
  <r>
    <n v="493130"/>
    <n v="493000"/>
    <x v="678"/>
    <n v="0.24399999999999999"/>
    <n v="0"/>
    <n v="0.24399999999999999"/>
    <n v="0"/>
    <x v="1"/>
    <n v="0"/>
  </r>
  <r>
    <n v="493190"/>
    <n v="493000"/>
    <x v="679"/>
    <n v="0.24399999999999999"/>
    <n v="0"/>
    <n v="0.24399999999999999"/>
    <n v="0"/>
    <x v="1"/>
    <n v="0"/>
  </r>
  <r>
    <n v="511110"/>
    <n v="511110"/>
    <x v="680"/>
    <n v="4.2999999999999997E-2"/>
    <n v="3.9E-2"/>
    <n v="8.2000000000000003E-2"/>
    <n v="3.9000000000000007E-2"/>
    <x v="1"/>
    <n v="0.47560975609756095"/>
  </r>
  <r>
    <n v="511120"/>
    <n v="511120"/>
    <x v="681"/>
    <n v="5.8999999999999997E-2"/>
    <n v="4.2999999999999997E-2"/>
    <n v="0.10299999999999999"/>
    <n v="4.3999999999999997E-2"/>
    <x v="1"/>
    <n v="0.41747572815533979"/>
  </r>
  <r>
    <n v="511130"/>
    <n v="511130"/>
    <x v="682"/>
    <n v="7.1999999999999995E-2"/>
    <n v="3.5000000000000003E-2"/>
    <n v="0.107"/>
    <n v="3.5000000000000003E-2"/>
    <x v="1"/>
    <n v="0.32710280373831779"/>
  </r>
  <r>
    <n v="511140"/>
    <s v="5111A0"/>
    <x v="683"/>
    <n v="5.2999999999999999E-2"/>
    <n v="5.5E-2"/>
    <n v="0.108"/>
    <n v="5.5E-2"/>
    <x v="1"/>
    <n v="0.5092592592592593"/>
  </r>
  <r>
    <n v="511191"/>
    <s v="5111A0"/>
    <x v="684"/>
    <n v="5.2999999999999999E-2"/>
    <n v="5.5E-2"/>
    <n v="0.108"/>
    <n v="5.5E-2"/>
    <x v="1"/>
    <n v="0.5092592592592593"/>
  </r>
  <r>
    <n v="511199"/>
    <s v="5111A0"/>
    <x v="685"/>
    <n v="5.2999999999999999E-2"/>
    <n v="5.5E-2"/>
    <n v="0.108"/>
    <n v="5.5E-2"/>
    <x v="1"/>
    <n v="0.5092592592592593"/>
  </r>
  <r>
    <n v="511210"/>
    <n v="511200"/>
    <x v="686"/>
    <n v="3.5999999999999997E-2"/>
    <n v="4.4999999999999998E-2"/>
    <n v="0.08"/>
    <n v="4.4000000000000004E-2"/>
    <x v="1"/>
    <n v="0.5625"/>
  </r>
  <r>
    <n v="512110"/>
    <n v="512100"/>
    <x v="687"/>
    <n v="4.7E-2"/>
    <n v="5.0000000000000001E-3"/>
    <n v="5.1999999999999998E-2"/>
    <n v="4.9999999999999975E-3"/>
    <x v="1"/>
    <n v="9.6153846153846159E-2"/>
  </r>
  <r>
    <n v="512120"/>
    <n v="512100"/>
    <x v="688"/>
    <n v="4.7E-2"/>
    <n v="5.0000000000000001E-3"/>
    <n v="5.1999999999999998E-2"/>
    <n v="4.9999999999999975E-3"/>
    <x v="1"/>
    <n v="9.6153846153846159E-2"/>
  </r>
  <r>
    <n v="512131"/>
    <n v="512100"/>
    <x v="689"/>
    <n v="4.7E-2"/>
    <n v="5.0000000000000001E-3"/>
    <n v="5.1999999999999998E-2"/>
    <n v="4.9999999999999975E-3"/>
    <x v="1"/>
    <n v="9.6153846153846159E-2"/>
  </r>
  <r>
    <n v="512132"/>
    <n v="512100"/>
    <x v="690"/>
    <n v="4.7E-2"/>
    <n v="5.0000000000000001E-3"/>
    <n v="5.1999999999999998E-2"/>
    <n v="4.9999999999999975E-3"/>
    <x v="1"/>
    <n v="9.6153846153846159E-2"/>
  </r>
  <r>
    <n v="512191"/>
    <n v="512100"/>
    <x v="691"/>
    <n v="4.7E-2"/>
    <n v="5.0000000000000001E-3"/>
    <n v="5.1999999999999998E-2"/>
    <n v="4.9999999999999975E-3"/>
    <x v="1"/>
    <n v="9.6153846153846159E-2"/>
  </r>
  <r>
    <n v="512199"/>
    <n v="512100"/>
    <x v="692"/>
    <n v="4.7E-2"/>
    <n v="5.0000000000000001E-3"/>
    <n v="5.1999999999999998E-2"/>
    <n v="4.9999999999999975E-3"/>
    <x v="1"/>
    <n v="9.6153846153846159E-2"/>
  </r>
  <r>
    <n v="512230"/>
    <n v="512200"/>
    <x v="693"/>
    <n v="2.5999999999999999E-2"/>
    <n v="1.7999999999999999E-2"/>
    <n v="4.3999999999999997E-2"/>
    <n v="1.7999999999999999E-2"/>
    <x v="1"/>
    <n v="0.40909090909090906"/>
  </r>
  <r>
    <n v="512240"/>
    <n v="512200"/>
    <x v="694"/>
    <n v="2.5999999999999999E-2"/>
    <n v="1.7999999999999999E-2"/>
    <n v="4.3999999999999997E-2"/>
    <n v="1.7999999999999999E-2"/>
    <x v="1"/>
    <n v="0.40909090909090906"/>
  </r>
  <r>
    <n v="512250"/>
    <n v="512200"/>
    <x v="695"/>
    <n v="2.5999999999999999E-2"/>
    <n v="1.7999999999999999E-2"/>
    <n v="4.3999999999999997E-2"/>
    <n v="1.7999999999999999E-2"/>
    <x v="1"/>
    <n v="0.40909090909090906"/>
  </r>
  <r>
    <n v="512290"/>
    <n v="512200"/>
    <x v="696"/>
    <n v="2.5999999999999999E-2"/>
    <n v="1.7999999999999999E-2"/>
    <n v="4.3999999999999997E-2"/>
    <n v="1.7999999999999999E-2"/>
    <x v="1"/>
    <n v="0.40909090909090906"/>
  </r>
  <r>
    <n v="515111"/>
    <n v="515100"/>
    <x v="697"/>
    <n v="7.9000000000000001E-2"/>
    <n v="0"/>
    <n v="7.9000000000000001E-2"/>
    <n v="0"/>
    <x v="1"/>
    <n v="0"/>
  </r>
  <r>
    <n v="515112"/>
    <n v="515100"/>
    <x v="698"/>
    <n v="7.9000000000000001E-2"/>
    <n v="0"/>
    <n v="7.9000000000000001E-2"/>
    <n v="0"/>
    <x v="1"/>
    <n v="0"/>
  </r>
  <r>
    <n v="515120"/>
    <n v="515100"/>
    <x v="699"/>
    <n v="7.9000000000000001E-2"/>
    <n v="0"/>
    <n v="7.9000000000000001E-2"/>
    <n v="0"/>
    <x v="1"/>
    <n v="0"/>
  </r>
  <r>
    <n v="515210"/>
    <n v="515200"/>
    <x v="700"/>
    <n v="9.4E-2"/>
    <n v="0"/>
    <n v="9.4E-2"/>
    <n v="0"/>
    <x v="1"/>
    <n v="0"/>
  </r>
  <r>
    <n v="517311"/>
    <n v="517110"/>
    <x v="701"/>
    <n v="7.4999999999999997E-2"/>
    <n v="0"/>
    <n v="7.4999999999999997E-2"/>
    <n v="0"/>
    <x v="1"/>
    <n v="0"/>
  </r>
  <r>
    <n v="517312"/>
    <n v="517210"/>
    <x v="702"/>
    <n v="9.6000000000000002E-2"/>
    <n v="0"/>
    <n v="9.6000000000000002E-2"/>
    <n v="0"/>
    <x v="1"/>
    <n v="0"/>
  </r>
  <r>
    <n v="517410"/>
    <s v="517A00"/>
    <x v="703"/>
    <n v="7.8E-2"/>
    <n v="0"/>
    <n v="7.8E-2"/>
    <n v="0"/>
    <x v="1"/>
    <n v="0"/>
  </r>
  <r>
    <n v="517911"/>
    <s v="517A00"/>
    <x v="704"/>
    <n v="7.8E-2"/>
    <n v="0"/>
    <n v="7.8E-2"/>
    <n v="0"/>
    <x v="1"/>
    <n v="0"/>
  </r>
  <r>
    <n v="517919"/>
    <s v="517A00"/>
    <x v="705"/>
    <n v="7.8E-2"/>
    <n v="0"/>
    <n v="7.8E-2"/>
    <n v="0"/>
    <x v="1"/>
    <n v="0"/>
  </r>
  <r>
    <n v="518210"/>
    <n v="518200"/>
    <x v="706"/>
    <n v="9.2999999999999999E-2"/>
    <n v="0"/>
    <n v="9.2999999999999999E-2"/>
    <n v="0"/>
    <x v="1"/>
    <n v="0"/>
  </r>
  <r>
    <n v="519110"/>
    <s v="5191A0"/>
    <x v="707"/>
    <n v="6.4000000000000001E-2"/>
    <n v="0"/>
    <n v="6.4000000000000001E-2"/>
    <n v="0"/>
    <x v="1"/>
    <n v="0"/>
  </r>
  <r>
    <n v="519120"/>
    <s v="5191A0"/>
    <x v="708"/>
    <n v="6.4000000000000001E-2"/>
    <n v="0"/>
    <n v="6.4000000000000001E-2"/>
    <n v="0"/>
    <x v="1"/>
    <n v="0"/>
  </r>
  <r>
    <n v="519130"/>
    <n v="519130"/>
    <x v="709"/>
    <n v="6.7000000000000004E-2"/>
    <n v="0"/>
    <n v="6.7000000000000004E-2"/>
    <n v="0"/>
    <x v="1"/>
    <n v="0"/>
  </r>
  <r>
    <n v="519190"/>
    <s v="5191A0"/>
    <x v="710"/>
    <n v="6.4000000000000001E-2"/>
    <n v="0"/>
    <n v="6.4000000000000001E-2"/>
    <n v="0"/>
    <x v="1"/>
    <n v="0"/>
  </r>
  <r>
    <n v="521110"/>
    <s v="52A000"/>
    <x v="711"/>
    <n v="5.8999999999999997E-2"/>
    <n v="0"/>
    <n v="5.8999999999999997E-2"/>
    <n v="0"/>
    <x v="1"/>
    <n v="0"/>
  </r>
  <r>
    <n v="522110"/>
    <s v="52A000"/>
    <x v="712"/>
    <n v="5.8999999999999997E-2"/>
    <n v="0"/>
    <n v="5.8999999999999997E-2"/>
    <n v="0"/>
    <x v="1"/>
    <n v="0"/>
  </r>
  <r>
    <n v="522120"/>
    <s v="52A000"/>
    <x v="713"/>
    <n v="5.8999999999999997E-2"/>
    <n v="0"/>
    <n v="5.8999999999999997E-2"/>
    <n v="0"/>
    <x v="1"/>
    <n v="0"/>
  </r>
  <r>
    <n v="522130"/>
    <s v="52A000"/>
    <x v="714"/>
    <n v="5.8999999999999997E-2"/>
    <n v="0"/>
    <n v="5.8999999999999997E-2"/>
    <n v="0"/>
    <x v="1"/>
    <n v="0"/>
  </r>
  <r>
    <n v="522190"/>
    <s v="52A000"/>
    <x v="715"/>
    <n v="5.8999999999999997E-2"/>
    <n v="0"/>
    <n v="5.8999999999999997E-2"/>
    <n v="0"/>
    <x v="1"/>
    <n v="0"/>
  </r>
  <r>
    <n v="522210"/>
    <s v="522A00"/>
    <x v="716"/>
    <n v="7.1999999999999995E-2"/>
    <n v="0"/>
    <n v="7.1999999999999995E-2"/>
    <n v="0"/>
    <x v="1"/>
    <n v="0"/>
  </r>
  <r>
    <n v="522220"/>
    <s v="522A00"/>
    <x v="717"/>
    <n v="7.1999999999999995E-2"/>
    <n v="0"/>
    <n v="7.1999999999999995E-2"/>
    <n v="0"/>
    <x v="1"/>
    <n v="0"/>
  </r>
  <r>
    <n v="522291"/>
    <s v="522A00"/>
    <x v="718"/>
    <n v="7.1999999999999995E-2"/>
    <n v="0"/>
    <n v="7.1999999999999995E-2"/>
    <n v="0"/>
    <x v="1"/>
    <n v="0"/>
  </r>
  <r>
    <n v="522292"/>
    <s v="522A00"/>
    <x v="719"/>
    <n v="7.1999999999999995E-2"/>
    <n v="0"/>
    <n v="7.1999999999999995E-2"/>
    <n v="0"/>
    <x v="1"/>
    <n v="0"/>
  </r>
  <r>
    <n v="522293"/>
    <s v="522A00"/>
    <x v="720"/>
    <n v="7.1999999999999995E-2"/>
    <n v="0"/>
    <n v="7.1999999999999995E-2"/>
    <n v="0"/>
    <x v="1"/>
    <n v="0"/>
  </r>
  <r>
    <n v="522294"/>
    <s v="522A00"/>
    <x v="721"/>
    <n v="7.1999999999999995E-2"/>
    <n v="0"/>
    <n v="7.1999999999999995E-2"/>
    <n v="0"/>
    <x v="1"/>
    <n v="0"/>
  </r>
  <r>
    <n v="522298"/>
    <s v="522A00"/>
    <x v="722"/>
    <n v="7.1999999999999995E-2"/>
    <n v="0"/>
    <n v="7.1999999999999995E-2"/>
    <n v="0"/>
    <x v="1"/>
    <n v="0"/>
  </r>
  <r>
    <n v="522310"/>
    <s v="522A00"/>
    <x v="723"/>
    <n v="7.1999999999999995E-2"/>
    <n v="0"/>
    <n v="7.1999999999999995E-2"/>
    <n v="0"/>
    <x v="1"/>
    <n v="0"/>
  </r>
  <r>
    <n v="522320"/>
    <s v="522A00"/>
    <x v="724"/>
    <n v="7.1999999999999995E-2"/>
    <n v="0"/>
    <n v="7.1999999999999995E-2"/>
    <n v="0"/>
    <x v="1"/>
    <n v="0"/>
  </r>
  <r>
    <n v="522390"/>
    <s v="522A00"/>
    <x v="725"/>
    <n v="7.1999999999999995E-2"/>
    <n v="0"/>
    <n v="7.1999999999999995E-2"/>
    <n v="0"/>
    <x v="1"/>
    <n v="0"/>
  </r>
  <r>
    <n v="523110"/>
    <s v="523A00"/>
    <x v="726"/>
    <n v="4.2999999999999997E-2"/>
    <n v="0"/>
    <n v="4.2999999999999997E-2"/>
    <n v="0"/>
    <x v="1"/>
    <n v="0"/>
  </r>
  <r>
    <n v="523120"/>
    <s v="523A00"/>
    <x v="727"/>
    <n v="4.2999999999999997E-2"/>
    <n v="0"/>
    <n v="4.2999999999999997E-2"/>
    <n v="0"/>
    <x v="1"/>
    <n v="0"/>
  </r>
  <r>
    <n v="523130"/>
    <s v="523A00"/>
    <x v="728"/>
    <n v="4.2999999999999997E-2"/>
    <n v="0"/>
    <n v="4.2999999999999997E-2"/>
    <n v="0"/>
    <x v="1"/>
    <n v="0"/>
  </r>
  <r>
    <n v="523140"/>
    <s v="523A00"/>
    <x v="729"/>
    <n v="4.2999999999999997E-2"/>
    <n v="0"/>
    <n v="4.2999999999999997E-2"/>
    <n v="0"/>
    <x v="1"/>
    <n v="0"/>
  </r>
  <r>
    <n v="523210"/>
    <s v="523A00"/>
    <x v="730"/>
    <n v="4.2999999999999997E-2"/>
    <n v="0"/>
    <n v="4.2999999999999997E-2"/>
    <n v="0"/>
    <x v="1"/>
    <n v="0"/>
  </r>
  <r>
    <n v="523910"/>
    <n v="523900"/>
    <x v="731"/>
    <n v="6.6000000000000003E-2"/>
    <n v="0"/>
    <n v="6.6000000000000003E-2"/>
    <n v="0"/>
    <x v="1"/>
    <n v="0"/>
  </r>
  <r>
    <n v="523920"/>
    <n v="523900"/>
    <x v="732"/>
    <n v="6.6000000000000003E-2"/>
    <n v="0"/>
    <n v="6.6000000000000003E-2"/>
    <n v="0"/>
    <x v="1"/>
    <n v="0"/>
  </r>
  <r>
    <n v="523930"/>
    <n v="523900"/>
    <x v="733"/>
    <n v="6.6000000000000003E-2"/>
    <n v="0"/>
    <n v="6.6000000000000003E-2"/>
    <n v="0"/>
    <x v="1"/>
    <n v="0"/>
  </r>
  <r>
    <n v="523991"/>
    <n v="523900"/>
    <x v="734"/>
    <n v="6.6000000000000003E-2"/>
    <n v="0"/>
    <n v="6.6000000000000003E-2"/>
    <n v="0"/>
    <x v="1"/>
    <n v="0"/>
  </r>
  <r>
    <n v="523999"/>
    <n v="523900"/>
    <x v="735"/>
    <n v="6.6000000000000003E-2"/>
    <n v="0"/>
    <n v="6.6000000000000003E-2"/>
    <n v="0"/>
    <x v="1"/>
    <n v="0"/>
  </r>
  <r>
    <n v="524113"/>
    <n v="524113"/>
    <x v="736"/>
    <n v="5.0999999999999997E-2"/>
    <n v="0"/>
    <n v="5.0999999999999997E-2"/>
    <n v="0"/>
    <x v="1"/>
    <n v="0"/>
  </r>
  <r>
    <n v="524114"/>
    <s v="5241XX"/>
    <x v="737"/>
    <n v="3.3000000000000002E-2"/>
    <n v="0"/>
    <n v="3.3000000000000002E-2"/>
    <n v="0"/>
    <x v="1"/>
    <n v="0"/>
  </r>
  <r>
    <n v="524126"/>
    <s v="5241XX"/>
    <x v="738"/>
    <n v="3.3000000000000002E-2"/>
    <n v="0"/>
    <n v="3.3000000000000002E-2"/>
    <n v="0"/>
    <x v="1"/>
    <n v="0"/>
  </r>
  <r>
    <n v="524127"/>
    <s v="5241XX"/>
    <x v="739"/>
    <n v="3.3000000000000002E-2"/>
    <n v="0"/>
    <n v="3.3000000000000002E-2"/>
    <n v="0"/>
    <x v="1"/>
    <n v="0"/>
  </r>
  <r>
    <n v="524128"/>
    <s v="5241XX"/>
    <x v="740"/>
    <n v="3.3000000000000002E-2"/>
    <n v="0"/>
    <n v="3.3000000000000002E-2"/>
    <n v="0"/>
    <x v="1"/>
    <n v="0"/>
  </r>
  <r>
    <n v="524130"/>
    <s v="5241XX"/>
    <x v="741"/>
    <n v="3.3000000000000002E-2"/>
    <n v="0"/>
    <n v="3.3000000000000002E-2"/>
    <n v="0"/>
    <x v="1"/>
    <n v="0"/>
  </r>
  <r>
    <n v="524210"/>
    <n v="524200"/>
    <x v="742"/>
    <n v="2.9000000000000001E-2"/>
    <n v="0"/>
    <n v="2.9000000000000001E-2"/>
    <n v="0"/>
    <x v="1"/>
    <n v="0"/>
  </r>
  <r>
    <n v="524291"/>
    <n v="524200"/>
    <x v="743"/>
    <n v="2.9000000000000001E-2"/>
    <n v="0"/>
    <n v="2.9000000000000001E-2"/>
    <n v="0"/>
    <x v="1"/>
    <n v="0"/>
  </r>
  <r>
    <n v="524292"/>
    <n v="524200"/>
    <x v="744"/>
    <n v="2.9000000000000001E-2"/>
    <n v="0"/>
    <n v="2.9000000000000001E-2"/>
    <n v="0"/>
    <x v="1"/>
    <n v="0"/>
  </r>
  <r>
    <n v="524298"/>
    <n v="524200"/>
    <x v="745"/>
    <n v="2.9000000000000001E-2"/>
    <n v="0"/>
    <n v="2.9000000000000001E-2"/>
    <n v="0"/>
    <x v="1"/>
    <n v="0"/>
  </r>
  <r>
    <n v="525110"/>
    <n v="525000"/>
    <x v="746"/>
    <n v="0.218"/>
    <n v="0"/>
    <n v="0.218"/>
    <n v="0"/>
    <x v="1"/>
    <n v="0"/>
  </r>
  <r>
    <n v="525120"/>
    <n v="525000"/>
    <x v="747"/>
    <n v="0.218"/>
    <n v="0"/>
    <n v="0.218"/>
    <n v="0"/>
    <x v="1"/>
    <n v="0"/>
  </r>
  <r>
    <n v="525190"/>
    <n v="525000"/>
    <x v="748"/>
    <n v="0.218"/>
    <n v="0"/>
    <n v="0.218"/>
    <n v="0"/>
    <x v="1"/>
    <n v="0"/>
  </r>
  <r>
    <n v="525910"/>
    <n v="525000"/>
    <x v="749"/>
    <n v="0.218"/>
    <n v="0"/>
    <n v="0.218"/>
    <n v="0"/>
    <x v="1"/>
    <n v="0"/>
  </r>
  <r>
    <n v="525920"/>
    <n v="525000"/>
    <x v="750"/>
    <n v="0.218"/>
    <n v="0"/>
    <n v="0.218"/>
    <n v="0"/>
    <x v="1"/>
    <n v="0"/>
  </r>
  <r>
    <n v="525990"/>
    <n v="525000"/>
    <x v="751"/>
    <n v="0.218"/>
    <n v="0"/>
    <n v="0.218"/>
    <n v="0"/>
    <x v="1"/>
    <n v="0"/>
  </r>
  <r>
    <n v="531110"/>
    <s v="531HSO, 531HST"/>
    <x v="752"/>
    <n v="3.3000000000000002E-2"/>
    <n v="0"/>
    <n v="3.3000000000000002E-2"/>
    <n v="0"/>
    <x v="1"/>
    <n v="0"/>
  </r>
  <r>
    <n v="531120"/>
    <s v="531ORE"/>
    <x v="753"/>
    <n v="0.246"/>
    <n v="0"/>
    <n v="0.246"/>
    <n v="0"/>
    <x v="1"/>
    <n v="0"/>
  </r>
  <r>
    <n v="531130"/>
    <s v="531ORE"/>
    <x v="754"/>
    <n v="0.246"/>
    <n v="0"/>
    <n v="0.246"/>
    <n v="0"/>
    <x v="1"/>
    <n v="0"/>
  </r>
  <r>
    <n v="531190"/>
    <s v="531ORE"/>
    <x v="755"/>
    <n v="0.246"/>
    <n v="0"/>
    <n v="0.246"/>
    <n v="0"/>
    <x v="1"/>
    <n v="0"/>
  </r>
  <r>
    <n v="531210"/>
    <s v="531ORE"/>
    <x v="756"/>
    <n v="0.246"/>
    <n v="0"/>
    <n v="0.246"/>
    <n v="0"/>
    <x v="1"/>
    <n v="0"/>
  </r>
  <r>
    <n v="531311"/>
    <s v="531ORE"/>
    <x v="757"/>
    <n v="0.246"/>
    <n v="0"/>
    <n v="0.246"/>
    <n v="0"/>
    <x v="1"/>
    <n v="0"/>
  </r>
  <r>
    <n v="531312"/>
    <s v="531ORE"/>
    <x v="758"/>
    <n v="0.246"/>
    <n v="0"/>
    <n v="0.246"/>
    <n v="0"/>
    <x v="1"/>
    <n v="0"/>
  </r>
  <r>
    <n v="531320"/>
    <s v="531ORE"/>
    <x v="759"/>
    <n v="0.246"/>
    <n v="0"/>
    <n v="0.246"/>
    <n v="0"/>
    <x v="1"/>
    <n v="0"/>
  </r>
  <r>
    <n v="531390"/>
    <s v="531ORE"/>
    <x v="760"/>
    <n v="0.246"/>
    <n v="0"/>
    <n v="0.246"/>
    <n v="0"/>
    <x v="1"/>
    <n v="0"/>
  </r>
  <r>
    <n v="532111"/>
    <n v="532100"/>
    <x v="761"/>
    <n v="0.11"/>
    <n v="0"/>
    <n v="0.11"/>
    <n v="0"/>
    <x v="1"/>
    <n v="0"/>
  </r>
  <r>
    <n v="532112"/>
    <n v="532100"/>
    <x v="762"/>
    <n v="0.11"/>
    <n v="0"/>
    <n v="0.11"/>
    <n v="0"/>
    <x v="1"/>
    <n v="0"/>
  </r>
  <r>
    <n v="532120"/>
    <n v="532100"/>
    <x v="763"/>
    <n v="0.11"/>
    <n v="0"/>
    <n v="0.11"/>
    <n v="0"/>
    <x v="1"/>
    <n v="0"/>
  </r>
  <r>
    <n v="532210"/>
    <s v="532A00"/>
    <x v="764"/>
    <n v="0.10199999999999999"/>
    <n v="0"/>
    <n v="0.10199999999999999"/>
    <n v="0"/>
    <x v="1"/>
    <n v="0"/>
  </r>
  <r>
    <n v="532281"/>
    <s v="532A00"/>
    <x v="765"/>
    <n v="0.10199999999999999"/>
    <n v="0"/>
    <n v="0.10199999999999999"/>
    <n v="0"/>
    <x v="1"/>
    <n v="0"/>
  </r>
  <r>
    <n v="532282"/>
    <s v="532A00"/>
    <x v="766"/>
    <n v="0.10199999999999999"/>
    <n v="0"/>
    <n v="0.10199999999999999"/>
    <n v="0"/>
    <x v="1"/>
    <n v="0"/>
  </r>
  <r>
    <n v="532283"/>
    <s v="532A00"/>
    <x v="767"/>
    <n v="0.10199999999999999"/>
    <n v="0"/>
    <n v="0.10199999999999999"/>
    <n v="0"/>
    <x v="1"/>
    <n v="0"/>
  </r>
  <r>
    <n v="532284"/>
    <s v="532A00"/>
    <x v="768"/>
    <n v="0.10199999999999999"/>
    <n v="0"/>
    <n v="0.10199999999999999"/>
    <n v="0"/>
    <x v="1"/>
    <n v="0"/>
  </r>
  <r>
    <n v="532289"/>
    <s v="532A00"/>
    <x v="769"/>
    <n v="0.10199999999999999"/>
    <n v="0"/>
    <n v="0.10199999999999999"/>
    <n v="0"/>
    <x v="1"/>
    <n v="0"/>
  </r>
  <r>
    <n v="532310"/>
    <s v="532A00"/>
    <x v="770"/>
    <n v="0.10199999999999999"/>
    <n v="0"/>
    <n v="0.10199999999999999"/>
    <n v="0"/>
    <x v="1"/>
    <n v="0"/>
  </r>
  <r>
    <n v="532411"/>
    <n v="532400"/>
    <x v="771"/>
    <n v="0.106"/>
    <n v="0"/>
    <n v="0.106"/>
    <n v="0"/>
    <x v="1"/>
    <n v="0"/>
  </r>
  <r>
    <n v="532412"/>
    <n v="532400"/>
    <x v="772"/>
    <n v="0.106"/>
    <n v="0"/>
    <n v="0.106"/>
    <n v="0"/>
    <x v="1"/>
    <n v="0"/>
  </r>
  <r>
    <n v="532420"/>
    <n v="532400"/>
    <x v="773"/>
    <n v="0.106"/>
    <n v="0"/>
    <n v="0.106"/>
    <n v="0"/>
    <x v="1"/>
    <n v="0"/>
  </r>
  <r>
    <n v="532490"/>
    <n v="532400"/>
    <x v="774"/>
    <n v="0.106"/>
    <n v="0"/>
    <n v="0.106"/>
    <n v="0"/>
    <x v="1"/>
    <n v="0"/>
  </r>
  <r>
    <n v="533110"/>
    <n v="533000"/>
    <x v="775"/>
    <n v="5.1999999999999998E-2"/>
    <n v="0"/>
    <n v="5.1999999999999998E-2"/>
    <n v="0"/>
    <x v="1"/>
    <n v="0"/>
  </r>
  <r>
    <n v="541110"/>
    <n v="541100"/>
    <x v="776"/>
    <n v="4.1000000000000002E-2"/>
    <n v="0"/>
    <n v="4.1000000000000002E-2"/>
    <n v="0"/>
    <x v="1"/>
    <n v="0"/>
  </r>
  <r>
    <n v="541120"/>
    <n v="541100"/>
    <x v="777"/>
    <n v="4.1000000000000002E-2"/>
    <n v="0"/>
    <n v="4.1000000000000002E-2"/>
    <n v="0"/>
    <x v="1"/>
    <n v="0"/>
  </r>
  <r>
    <n v="541191"/>
    <n v="541100"/>
    <x v="778"/>
    <n v="4.1000000000000002E-2"/>
    <n v="0"/>
    <n v="4.1000000000000002E-2"/>
    <n v="0"/>
    <x v="1"/>
    <n v="0"/>
  </r>
  <r>
    <n v="541199"/>
    <n v="541100"/>
    <x v="779"/>
    <n v="4.1000000000000002E-2"/>
    <n v="0"/>
    <n v="4.1000000000000002E-2"/>
    <n v="0"/>
    <x v="1"/>
    <n v="0"/>
  </r>
  <r>
    <n v="541211"/>
    <n v="541200"/>
    <x v="780"/>
    <n v="5.3999999999999999E-2"/>
    <n v="0"/>
    <n v="5.3999999999999999E-2"/>
    <n v="0"/>
    <x v="1"/>
    <n v="0"/>
  </r>
  <r>
    <n v="541213"/>
    <n v="541200"/>
    <x v="781"/>
    <n v="5.3999999999999999E-2"/>
    <n v="0"/>
    <n v="5.3999999999999999E-2"/>
    <n v="0"/>
    <x v="1"/>
    <n v="0"/>
  </r>
  <r>
    <n v="541214"/>
    <n v="541200"/>
    <x v="782"/>
    <n v="5.3999999999999999E-2"/>
    <n v="0"/>
    <n v="5.3999999999999999E-2"/>
    <n v="0"/>
    <x v="1"/>
    <n v="0"/>
  </r>
  <r>
    <n v="541219"/>
    <n v="541200"/>
    <x v="783"/>
    <n v="5.3999999999999999E-2"/>
    <n v="0"/>
    <n v="5.3999999999999999E-2"/>
    <n v="0"/>
    <x v="1"/>
    <n v="0"/>
  </r>
  <r>
    <n v="541310"/>
    <n v="541300"/>
    <x v="784"/>
    <n v="0.10299999999999999"/>
    <n v="0"/>
    <n v="0.10299999999999999"/>
    <n v="0"/>
    <x v="1"/>
    <n v="0"/>
  </r>
  <r>
    <n v="541320"/>
    <n v="541300"/>
    <x v="785"/>
    <n v="0.10299999999999999"/>
    <n v="0"/>
    <n v="0.10299999999999999"/>
    <n v="0"/>
    <x v="1"/>
    <n v="0"/>
  </r>
  <r>
    <n v="541330"/>
    <n v="541300"/>
    <x v="786"/>
    <n v="0.10299999999999999"/>
    <n v="0"/>
    <n v="0.10299999999999999"/>
    <n v="0"/>
    <x v="1"/>
    <n v="0"/>
  </r>
  <r>
    <n v="541340"/>
    <n v="541300"/>
    <x v="787"/>
    <n v="0.10299999999999999"/>
    <n v="0"/>
    <n v="0.10299999999999999"/>
    <n v="0"/>
    <x v="1"/>
    <n v="0"/>
  </r>
  <r>
    <n v="541350"/>
    <n v="541300"/>
    <x v="788"/>
    <n v="0.10299999999999999"/>
    <n v="0"/>
    <n v="0.10299999999999999"/>
    <n v="0"/>
    <x v="1"/>
    <n v="0"/>
  </r>
  <r>
    <n v="541360"/>
    <n v="541300"/>
    <x v="789"/>
    <n v="0.10299999999999999"/>
    <n v="0"/>
    <n v="0.10299999999999999"/>
    <n v="0"/>
    <x v="1"/>
    <n v="0"/>
  </r>
  <r>
    <n v="541370"/>
    <n v="541300"/>
    <x v="790"/>
    <n v="0.10299999999999999"/>
    <n v="0"/>
    <n v="0.10299999999999999"/>
    <n v="0"/>
    <x v="1"/>
    <n v="0"/>
  </r>
  <r>
    <n v="541380"/>
    <n v="541300"/>
    <x v="791"/>
    <n v="0.10299999999999999"/>
    <n v="0"/>
    <n v="0.10299999999999999"/>
    <n v="0"/>
    <x v="1"/>
    <n v="0"/>
  </r>
  <r>
    <n v="541410"/>
    <n v="541400"/>
    <x v="792"/>
    <n v="9.4E-2"/>
    <n v="0"/>
    <n v="9.4E-2"/>
    <n v="0"/>
    <x v="1"/>
    <n v="0"/>
  </r>
  <r>
    <n v="541420"/>
    <n v="541400"/>
    <x v="793"/>
    <n v="9.4E-2"/>
    <n v="0"/>
    <n v="9.4E-2"/>
    <n v="0"/>
    <x v="1"/>
    <n v="0"/>
  </r>
  <r>
    <n v="541430"/>
    <n v="541400"/>
    <x v="794"/>
    <n v="9.4E-2"/>
    <n v="0"/>
    <n v="9.4E-2"/>
    <n v="0"/>
    <x v="1"/>
    <n v="0"/>
  </r>
  <r>
    <n v="541490"/>
    <n v="541400"/>
    <x v="795"/>
    <n v="9.4E-2"/>
    <n v="0"/>
    <n v="9.4E-2"/>
    <n v="0"/>
    <x v="1"/>
    <n v="0"/>
  </r>
  <r>
    <n v="541511"/>
    <n v="541511"/>
    <x v="796"/>
    <n v="8.4000000000000005E-2"/>
    <n v="0"/>
    <n v="8.4000000000000005E-2"/>
    <n v="0"/>
    <x v="1"/>
    <n v="0"/>
  </r>
  <r>
    <n v="541512"/>
    <n v="541512"/>
    <x v="797"/>
    <n v="8.8999999999999996E-2"/>
    <n v="0"/>
    <n v="8.8999999999999996E-2"/>
    <n v="0"/>
    <x v="1"/>
    <n v="0"/>
  </r>
  <r>
    <n v="541513"/>
    <s v="54151A"/>
    <x v="798"/>
    <n v="0.08"/>
    <n v="0"/>
    <n v="0.08"/>
    <n v="0"/>
    <x v="1"/>
    <n v="0"/>
  </r>
  <r>
    <n v="541519"/>
    <s v="54151A"/>
    <x v="799"/>
    <n v="0.08"/>
    <n v="0"/>
    <n v="0.08"/>
    <n v="0"/>
    <x v="1"/>
    <n v="0"/>
  </r>
  <r>
    <n v="541611"/>
    <n v="541610"/>
    <x v="800"/>
    <n v="7.8E-2"/>
    <n v="0"/>
    <n v="7.8E-2"/>
    <n v="0"/>
    <x v="1"/>
    <n v="0"/>
  </r>
  <r>
    <n v="541612"/>
    <n v="541610"/>
    <x v="801"/>
    <n v="7.8E-2"/>
    <n v="0"/>
    <n v="7.8E-2"/>
    <n v="0"/>
    <x v="1"/>
    <n v="0"/>
  </r>
  <r>
    <n v="541613"/>
    <n v="541610"/>
    <x v="802"/>
    <n v="7.8E-2"/>
    <n v="0"/>
    <n v="7.8E-2"/>
    <n v="0"/>
    <x v="1"/>
    <n v="0"/>
  </r>
  <r>
    <n v="541614"/>
    <n v="541610"/>
    <x v="803"/>
    <n v="7.8E-2"/>
    <n v="0"/>
    <n v="7.8E-2"/>
    <n v="0"/>
    <x v="1"/>
    <n v="0"/>
  </r>
  <r>
    <n v="541618"/>
    <n v="541610"/>
    <x v="804"/>
    <n v="7.8E-2"/>
    <n v="0"/>
    <n v="7.8E-2"/>
    <n v="0"/>
    <x v="1"/>
    <n v="0"/>
  </r>
  <r>
    <n v="541620"/>
    <s v="5416A0"/>
    <x v="805"/>
    <n v="0.09"/>
    <n v="0"/>
    <n v="0.09"/>
    <n v="0"/>
    <x v="1"/>
    <n v="0"/>
  </r>
  <r>
    <n v="541690"/>
    <s v="5416A0"/>
    <x v="806"/>
    <n v="0.09"/>
    <n v="0"/>
    <n v="0.09"/>
    <n v="0"/>
    <x v="1"/>
    <n v="0"/>
  </r>
  <r>
    <n v="541713"/>
    <n v="541700"/>
    <x v="807"/>
    <n v="0.156"/>
    <n v="0"/>
    <n v="0.156"/>
    <n v="0"/>
    <x v="1"/>
    <n v="0"/>
  </r>
  <r>
    <n v="541714"/>
    <n v="541700"/>
    <x v="808"/>
    <n v="0.156"/>
    <n v="0"/>
    <n v="0.156"/>
    <n v="0"/>
    <x v="1"/>
    <n v="0"/>
  </r>
  <r>
    <n v="541715"/>
    <n v="541700"/>
    <x v="809"/>
    <n v="0.156"/>
    <n v="0"/>
    <n v="0.156"/>
    <n v="0"/>
    <x v="1"/>
    <n v="0"/>
  </r>
  <r>
    <n v="541720"/>
    <n v="541700"/>
    <x v="810"/>
    <n v="0.156"/>
    <n v="0"/>
    <n v="0.156"/>
    <n v="0"/>
    <x v="1"/>
    <n v="0"/>
  </r>
  <r>
    <n v="541810"/>
    <n v="541800"/>
    <x v="811"/>
    <n v="8.5000000000000006E-2"/>
    <n v="0"/>
    <n v="8.5000000000000006E-2"/>
    <n v="0"/>
    <x v="1"/>
    <n v="0"/>
  </r>
  <r>
    <n v="541820"/>
    <n v="541800"/>
    <x v="812"/>
    <n v="8.5000000000000006E-2"/>
    <n v="0"/>
    <n v="8.5000000000000006E-2"/>
    <n v="0"/>
    <x v="1"/>
    <n v="0"/>
  </r>
  <r>
    <n v="541830"/>
    <n v="541800"/>
    <x v="813"/>
    <n v="8.5000000000000006E-2"/>
    <n v="0"/>
    <n v="8.5000000000000006E-2"/>
    <n v="0"/>
    <x v="1"/>
    <n v="0"/>
  </r>
  <r>
    <n v="541840"/>
    <n v="541800"/>
    <x v="814"/>
    <n v="8.5000000000000006E-2"/>
    <n v="0"/>
    <n v="8.5000000000000006E-2"/>
    <n v="0"/>
    <x v="1"/>
    <n v="0"/>
  </r>
  <r>
    <n v="541850"/>
    <n v="541800"/>
    <x v="815"/>
    <n v="8.5000000000000006E-2"/>
    <n v="0"/>
    <n v="8.5000000000000006E-2"/>
    <n v="0"/>
    <x v="1"/>
    <n v="0"/>
  </r>
  <r>
    <n v="541860"/>
    <n v="541800"/>
    <x v="816"/>
    <n v="8.5000000000000006E-2"/>
    <n v="0"/>
    <n v="8.5000000000000006E-2"/>
    <n v="0"/>
    <x v="1"/>
    <n v="0"/>
  </r>
  <r>
    <n v="541870"/>
    <n v="541800"/>
    <x v="817"/>
    <n v="8.5000000000000006E-2"/>
    <n v="0"/>
    <n v="8.5000000000000006E-2"/>
    <n v="0"/>
    <x v="1"/>
    <n v="0"/>
  </r>
  <r>
    <n v="541890"/>
    <n v="541800"/>
    <x v="818"/>
    <n v="8.5000000000000006E-2"/>
    <n v="0"/>
    <n v="8.5000000000000006E-2"/>
    <n v="0"/>
    <x v="1"/>
    <n v="0"/>
  </r>
  <r>
    <n v="541910"/>
    <s v="5419A0"/>
    <x v="819"/>
    <n v="0.08"/>
    <n v="0"/>
    <n v="0.08"/>
    <n v="0"/>
    <x v="1"/>
    <n v="0"/>
  </r>
  <r>
    <n v="541921"/>
    <n v="541920"/>
    <x v="820"/>
    <n v="0.125"/>
    <n v="0"/>
    <n v="0.125"/>
    <n v="0"/>
    <x v="1"/>
    <n v="0"/>
  </r>
  <r>
    <n v="541922"/>
    <n v="541920"/>
    <x v="821"/>
    <n v="0.125"/>
    <n v="0"/>
    <n v="0.125"/>
    <n v="0"/>
    <x v="1"/>
    <n v="0"/>
  </r>
  <r>
    <n v="541930"/>
    <s v="5419A0"/>
    <x v="822"/>
    <n v="0.08"/>
    <n v="0"/>
    <n v="0.08"/>
    <n v="0"/>
    <x v="1"/>
    <n v="0"/>
  </r>
  <r>
    <n v="541940"/>
    <n v="541940"/>
    <x v="823"/>
    <n v="0.127"/>
    <n v="0"/>
    <n v="0.127"/>
    <n v="0"/>
    <x v="1"/>
    <n v="0"/>
  </r>
  <r>
    <n v="541990"/>
    <s v="5419A0"/>
    <x v="824"/>
    <n v="0.08"/>
    <n v="0"/>
    <n v="0.08"/>
    <n v="0"/>
    <x v="1"/>
    <n v="0"/>
  </r>
  <r>
    <n v="551111"/>
    <n v="550000"/>
    <x v="825"/>
    <n v="8.4000000000000005E-2"/>
    <n v="0"/>
    <n v="8.4000000000000005E-2"/>
    <n v="0"/>
    <x v="1"/>
    <n v="0"/>
  </r>
  <r>
    <n v="551112"/>
    <n v="550000"/>
    <x v="826"/>
    <n v="8.4000000000000005E-2"/>
    <n v="0"/>
    <n v="8.4000000000000005E-2"/>
    <n v="0"/>
    <x v="1"/>
    <n v="0"/>
  </r>
  <r>
    <n v="551114"/>
    <n v="550000"/>
    <x v="827"/>
    <n v="8.4000000000000005E-2"/>
    <n v="0"/>
    <n v="8.4000000000000005E-2"/>
    <n v="0"/>
    <x v="1"/>
    <n v="0"/>
  </r>
  <r>
    <n v="561110"/>
    <n v="561100"/>
    <x v="828"/>
    <n v="0.1"/>
    <n v="0"/>
    <n v="0.1"/>
    <n v="0"/>
    <x v="1"/>
    <n v="0"/>
  </r>
  <r>
    <n v="561210"/>
    <n v="561200"/>
    <x v="829"/>
    <n v="0.19900000000000001"/>
    <n v="0"/>
    <n v="0.19900000000000001"/>
    <n v="0"/>
    <x v="1"/>
    <n v="0"/>
  </r>
  <r>
    <n v="561311"/>
    <n v="561300"/>
    <x v="830"/>
    <n v="5.0999999999999997E-2"/>
    <n v="0"/>
    <n v="5.0999999999999997E-2"/>
    <n v="0"/>
    <x v="1"/>
    <n v="0"/>
  </r>
  <r>
    <n v="561312"/>
    <n v="561300"/>
    <x v="831"/>
    <n v="5.0999999999999997E-2"/>
    <n v="0"/>
    <n v="5.0999999999999997E-2"/>
    <n v="0"/>
    <x v="1"/>
    <n v="0"/>
  </r>
  <r>
    <n v="561320"/>
    <n v="561300"/>
    <x v="832"/>
    <n v="5.0999999999999997E-2"/>
    <n v="0"/>
    <n v="5.0999999999999997E-2"/>
    <n v="0"/>
    <x v="1"/>
    <n v="0"/>
  </r>
  <r>
    <n v="561330"/>
    <n v="561300"/>
    <x v="833"/>
    <n v="5.0999999999999997E-2"/>
    <n v="0"/>
    <n v="5.0999999999999997E-2"/>
    <n v="0"/>
    <x v="1"/>
    <n v="0"/>
  </r>
  <r>
    <n v="561410"/>
    <n v="561400"/>
    <x v="834"/>
    <n v="0.111"/>
    <n v="0"/>
    <n v="0.111"/>
    <n v="0"/>
    <x v="1"/>
    <n v="0"/>
  </r>
  <r>
    <n v="561421"/>
    <n v="561400"/>
    <x v="835"/>
    <n v="0.111"/>
    <n v="0"/>
    <n v="0.111"/>
    <n v="0"/>
    <x v="1"/>
    <n v="0"/>
  </r>
  <r>
    <n v="561422"/>
    <n v="561400"/>
    <x v="836"/>
    <n v="0.111"/>
    <n v="0"/>
    <n v="0.111"/>
    <n v="0"/>
    <x v="1"/>
    <n v="0"/>
  </r>
  <r>
    <n v="561431"/>
    <n v="561400"/>
    <x v="837"/>
    <n v="0.111"/>
    <n v="0"/>
    <n v="0.111"/>
    <n v="0"/>
    <x v="1"/>
    <n v="0"/>
  </r>
  <r>
    <n v="561439"/>
    <n v="561400"/>
    <x v="838"/>
    <n v="0.111"/>
    <n v="0"/>
    <n v="0.111"/>
    <n v="0"/>
    <x v="1"/>
    <n v="0"/>
  </r>
  <r>
    <n v="561440"/>
    <n v="561400"/>
    <x v="839"/>
    <n v="0.111"/>
    <n v="0"/>
    <n v="0.111"/>
    <n v="0"/>
    <x v="1"/>
    <n v="0"/>
  </r>
  <r>
    <n v="561450"/>
    <n v="561400"/>
    <x v="840"/>
    <n v="0.111"/>
    <n v="0"/>
    <n v="0.111"/>
    <n v="0"/>
    <x v="1"/>
    <n v="0"/>
  </r>
  <r>
    <n v="561491"/>
    <n v="561400"/>
    <x v="841"/>
    <n v="0.111"/>
    <n v="0"/>
    <n v="0.111"/>
    <n v="0"/>
    <x v="1"/>
    <n v="0"/>
  </r>
  <r>
    <n v="561492"/>
    <n v="561400"/>
    <x v="842"/>
    <n v="0.111"/>
    <n v="0"/>
    <n v="0.111"/>
    <n v="0"/>
    <x v="1"/>
    <n v="0"/>
  </r>
  <r>
    <n v="561499"/>
    <n v="561400"/>
    <x v="843"/>
    <n v="0.111"/>
    <n v="0"/>
    <n v="0.111"/>
    <n v="0"/>
    <x v="1"/>
    <n v="0"/>
  </r>
  <r>
    <n v="561510"/>
    <n v="561500"/>
    <x v="844"/>
    <n v="8.7999999999999995E-2"/>
    <n v="0"/>
    <n v="8.7999999999999995E-2"/>
    <n v="0"/>
    <x v="1"/>
    <n v="0"/>
  </r>
  <r>
    <n v="561520"/>
    <n v="561500"/>
    <x v="845"/>
    <n v="8.7999999999999995E-2"/>
    <n v="0"/>
    <n v="8.7999999999999995E-2"/>
    <n v="0"/>
    <x v="1"/>
    <n v="0"/>
  </r>
  <r>
    <n v="561591"/>
    <n v="561500"/>
    <x v="846"/>
    <n v="8.7999999999999995E-2"/>
    <n v="0"/>
    <n v="8.7999999999999995E-2"/>
    <n v="0"/>
    <x v="1"/>
    <n v="0"/>
  </r>
  <r>
    <n v="561599"/>
    <n v="561500"/>
    <x v="847"/>
    <n v="8.7999999999999995E-2"/>
    <n v="0"/>
    <n v="8.7999999999999995E-2"/>
    <n v="0"/>
    <x v="1"/>
    <n v="0"/>
  </r>
  <r>
    <n v="561611"/>
    <n v="561600"/>
    <x v="848"/>
    <n v="7.3999999999999996E-2"/>
    <n v="0"/>
    <n v="7.3999999999999996E-2"/>
    <n v="0"/>
    <x v="1"/>
    <n v="0"/>
  </r>
  <r>
    <n v="561612"/>
    <n v="561600"/>
    <x v="849"/>
    <n v="7.3999999999999996E-2"/>
    <n v="0"/>
    <n v="7.3999999999999996E-2"/>
    <n v="0"/>
    <x v="1"/>
    <n v="0"/>
  </r>
  <r>
    <n v="561613"/>
    <n v="561600"/>
    <x v="850"/>
    <n v="7.3999999999999996E-2"/>
    <n v="0"/>
    <n v="7.3999999999999996E-2"/>
    <n v="0"/>
    <x v="1"/>
    <n v="0"/>
  </r>
  <r>
    <n v="561621"/>
    <n v="561600"/>
    <x v="851"/>
    <n v="7.3999999999999996E-2"/>
    <n v="0"/>
    <n v="7.3999999999999996E-2"/>
    <n v="0"/>
    <x v="1"/>
    <n v="0"/>
  </r>
  <r>
    <n v="561622"/>
    <n v="561600"/>
    <x v="852"/>
    <n v="7.3999999999999996E-2"/>
    <n v="0"/>
    <n v="7.3999999999999996E-2"/>
    <n v="0"/>
    <x v="1"/>
    <n v="0"/>
  </r>
  <r>
    <n v="561710"/>
    <n v="561700"/>
    <x v="853"/>
    <n v="0.214"/>
    <n v="0"/>
    <n v="0.214"/>
    <n v="0"/>
    <x v="1"/>
    <n v="0"/>
  </r>
  <r>
    <n v="561720"/>
    <n v="561700"/>
    <x v="854"/>
    <n v="0.214"/>
    <n v="0"/>
    <n v="0.214"/>
    <n v="0"/>
    <x v="1"/>
    <n v="0"/>
  </r>
  <r>
    <n v="561730"/>
    <n v="561700"/>
    <x v="855"/>
    <n v="0.214"/>
    <n v="0"/>
    <n v="0.214"/>
    <n v="0"/>
    <x v="1"/>
    <n v="0"/>
  </r>
  <r>
    <n v="561740"/>
    <n v="561700"/>
    <x v="856"/>
    <n v="0.214"/>
    <n v="0"/>
    <n v="0.214"/>
    <n v="0"/>
    <x v="1"/>
    <n v="0"/>
  </r>
  <r>
    <n v="561790"/>
    <n v="561700"/>
    <x v="857"/>
    <n v="0.214"/>
    <n v="0"/>
    <n v="0.214"/>
    <n v="0"/>
    <x v="1"/>
    <n v="0"/>
  </r>
  <r>
    <n v="561910"/>
    <n v="561900"/>
    <x v="858"/>
    <n v="0.127"/>
    <n v="0"/>
    <n v="0.127"/>
    <n v="0"/>
    <x v="1"/>
    <n v="0"/>
  </r>
  <r>
    <n v="561920"/>
    <n v="561900"/>
    <x v="859"/>
    <n v="0.127"/>
    <n v="0"/>
    <n v="0.127"/>
    <n v="0"/>
    <x v="1"/>
    <n v="0"/>
  </r>
  <r>
    <n v="561990"/>
    <n v="561900"/>
    <x v="860"/>
    <n v="0.127"/>
    <n v="0"/>
    <n v="0.127"/>
    <n v="0"/>
    <x v="1"/>
    <n v="0"/>
  </r>
  <r>
    <n v="562111"/>
    <n v="562000"/>
    <x v="861"/>
    <n v="0.98799999999999999"/>
    <n v="0"/>
    <n v="0.98799999999999999"/>
    <n v="0"/>
    <x v="1"/>
    <n v="0"/>
  </r>
  <r>
    <n v="562112"/>
    <n v="562000"/>
    <x v="862"/>
    <n v="0.98799999999999999"/>
    <n v="0"/>
    <n v="0.98799999999999999"/>
    <n v="0"/>
    <x v="0"/>
    <n v="0"/>
  </r>
  <r>
    <n v="562119"/>
    <n v="562000"/>
    <x v="863"/>
    <n v="0.98799999999999999"/>
    <n v="0"/>
    <n v="0.98799999999999999"/>
    <n v="0"/>
    <x v="0"/>
    <n v="0"/>
  </r>
  <r>
    <n v="562211"/>
    <n v="562000"/>
    <x v="864"/>
    <n v="0.98799999999999999"/>
    <n v="0"/>
    <n v="0.98799999999999999"/>
    <n v="0"/>
    <x v="0"/>
    <n v="0"/>
  </r>
  <r>
    <n v="562212"/>
    <n v="562000"/>
    <x v="865"/>
    <n v="0.98799999999999999"/>
    <n v="0"/>
    <n v="0.98799999999999999"/>
    <n v="0"/>
    <x v="0"/>
    <n v="0"/>
  </r>
  <r>
    <n v="562213"/>
    <n v="562000"/>
    <x v="866"/>
    <n v="0.98799999999999999"/>
    <n v="0"/>
    <n v="0.98799999999999999"/>
    <n v="0"/>
    <x v="0"/>
    <n v="0"/>
  </r>
  <r>
    <n v="562219"/>
    <n v="562000"/>
    <x v="867"/>
    <n v="0.98799999999999999"/>
    <n v="0"/>
    <n v="0.98799999999999999"/>
    <n v="0"/>
    <x v="0"/>
    <n v="0"/>
  </r>
  <r>
    <n v="562910"/>
    <n v="562000"/>
    <x v="868"/>
    <n v="0.98799999999999999"/>
    <n v="0"/>
    <n v="0.98799999999999999"/>
    <n v="0"/>
    <x v="0"/>
    <n v="0"/>
  </r>
  <r>
    <n v="562920"/>
    <n v="562000"/>
    <x v="869"/>
    <n v="0.98799999999999999"/>
    <n v="0"/>
    <n v="0.98799999999999999"/>
    <n v="0"/>
    <x v="0"/>
    <n v="0"/>
  </r>
  <r>
    <n v="562991"/>
    <n v="562000"/>
    <x v="870"/>
    <n v="0.98799999999999999"/>
    <n v="0"/>
    <n v="0.98799999999999999"/>
    <n v="0"/>
    <x v="0"/>
    <n v="0"/>
  </r>
  <r>
    <n v="562998"/>
    <n v="562000"/>
    <x v="871"/>
    <n v="0.98799999999999999"/>
    <n v="0"/>
    <n v="0.98799999999999999"/>
    <n v="0"/>
    <x v="0"/>
    <n v="0"/>
  </r>
  <r>
    <n v="611110"/>
    <n v="611100"/>
    <x v="872"/>
    <n v="0.186"/>
    <n v="0"/>
    <n v="0.186"/>
    <n v="0"/>
    <x v="0"/>
    <n v="0"/>
  </r>
  <r>
    <n v="611210"/>
    <s v="611A00"/>
    <x v="873"/>
    <n v="0.14000000000000001"/>
    <n v="0"/>
    <n v="0.14000000000000001"/>
    <n v="0"/>
    <x v="1"/>
    <n v="0"/>
  </r>
  <r>
    <n v="611310"/>
    <s v="611A00"/>
    <x v="874"/>
    <n v="0.14000000000000001"/>
    <n v="0"/>
    <n v="0.14000000000000001"/>
    <n v="0"/>
    <x v="1"/>
    <n v="0"/>
  </r>
  <r>
    <n v="611410"/>
    <s v="611B00"/>
    <x v="875"/>
    <n v="0.108"/>
    <n v="0"/>
    <n v="0.108"/>
    <n v="0"/>
    <x v="1"/>
    <n v="0"/>
  </r>
  <r>
    <n v="611420"/>
    <s v="611B00"/>
    <x v="876"/>
    <n v="0.108"/>
    <n v="0"/>
    <n v="0.108"/>
    <n v="0"/>
    <x v="1"/>
    <n v="0"/>
  </r>
  <r>
    <n v="611430"/>
    <s v="611B00"/>
    <x v="877"/>
    <n v="0.108"/>
    <n v="0"/>
    <n v="0.108"/>
    <n v="0"/>
    <x v="1"/>
    <n v="0"/>
  </r>
  <r>
    <n v="611511"/>
    <s v="611B00"/>
    <x v="878"/>
    <n v="0.108"/>
    <n v="0"/>
    <n v="0.108"/>
    <n v="0"/>
    <x v="1"/>
    <n v="0"/>
  </r>
  <r>
    <n v="611512"/>
    <s v="611B00"/>
    <x v="879"/>
    <n v="0.108"/>
    <n v="0"/>
    <n v="0.108"/>
    <n v="0"/>
    <x v="1"/>
    <n v="0"/>
  </r>
  <r>
    <n v="611513"/>
    <s v="611B00"/>
    <x v="880"/>
    <n v="0.108"/>
    <n v="0"/>
    <n v="0.108"/>
    <n v="0"/>
    <x v="1"/>
    <n v="0"/>
  </r>
  <r>
    <n v="611519"/>
    <s v="611B00"/>
    <x v="881"/>
    <n v="0.108"/>
    <n v="0"/>
    <n v="0.108"/>
    <n v="0"/>
    <x v="1"/>
    <n v="0"/>
  </r>
  <r>
    <n v="611610"/>
    <s v="611B00"/>
    <x v="882"/>
    <n v="0.108"/>
    <n v="0"/>
    <n v="0.108"/>
    <n v="0"/>
    <x v="1"/>
    <n v="0"/>
  </r>
  <r>
    <n v="611620"/>
    <s v="611B00"/>
    <x v="883"/>
    <n v="0.108"/>
    <n v="0"/>
    <n v="0.108"/>
    <n v="0"/>
    <x v="1"/>
    <n v="0"/>
  </r>
  <r>
    <n v="611630"/>
    <s v="611B00"/>
    <x v="884"/>
    <n v="0.108"/>
    <n v="0"/>
    <n v="0.108"/>
    <n v="0"/>
    <x v="1"/>
    <n v="0"/>
  </r>
  <r>
    <n v="611691"/>
    <s v="611B00"/>
    <x v="885"/>
    <n v="0.108"/>
    <n v="0"/>
    <n v="0.108"/>
    <n v="0"/>
    <x v="1"/>
    <n v="0"/>
  </r>
  <r>
    <n v="611692"/>
    <s v="611B00"/>
    <x v="886"/>
    <n v="0.108"/>
    <n v="0"/>
    <n v="0.108"/>
    <n v="0"/>
    <x v="1"/>
    <n v="0"/>
  </r>
  <r>
    <n v="611699"/>
    <s v="611B00"/>
    <x v="887"/>
    <n v="0.108"/>
    <n v="0"/>
    <n v="0.108"/>
    <n v="0"/>
    <x v="1"/>
    <n v="0"/>
  </r>
  <r>
    <n v="611710"/>
    <s v="611B00"/>
    <x v="888"/>
    <n v="0.108"/>
    <n v="0"/>
    <n v="0.108"/>
    <n v="0"/>
    <x v="1"/>
    <n v="0"/>
  </r>
  <r>
    <n v="621111"/>
    <n v="621100"/>
    <x v="889"/>
    <n v="8.3000000000000004E-2"/>
    <n v="0"/>
    <n v="8.3000000000000004E-2"/>
    <n v="0"/>
    <x v="1"/>
    <n v="0"/>
  </r>
  <r>
    <n v="621112"/>
    <n v="621100"/>
    <x v="890"/>
    <n v="8.3000000000000004E-2"/>
    <n v="0"/>
    <n v="8.3000000000000004E-2"/>
    <n v="0"/>
    <x v="1"/>
    <n v="0"/>
  </r>
  <r>
    <n v="621210"/>
    <n v="621200"/>
    <x v="891"/>
    <n v="5.6000000000000001E-2"/>
    <n v="0"/>
    <n v="5.6000000000000001E-2"/>
    <n v="0"/>
    <x v="1"/>
    <n v="0"/>
  </r>
  <r>
    <n v="621310"/>
    <n v="621300"/>
    <x v="892"/>
    <n v="0.105"/>
    <n v="0"/>
    <n v="0.105"/>
    <n v="0"/>
    <x v="1"/>
    <n v="0"/>
  </r>
  <r>
    <n v="621320"/>
    <n v="621300"/>
    <x v="893"/>
    <n v="0.105"/>
    <n v="0"/>
    <n v="0.105"/>
    <n v="0"/>
    <x v="1"/>
    <n v="0"/>
  </r>
  <r>
    <n v="621330"/>
    <n v="621300"/>
    <x v="894"/>
    <n v="0.105"/>
    <n v="0"/>
    <n v="0.105"/>
    <n v="0"/>
    <x v="1"/>
    <n v="0"/>
  </r>
  <r>
    <n v="621340"/>
    <n v="621300"/>
    <x v="895"/>
    <n v="0.105"/>
    <n v="0"/>
    <n v="0.105"/>
    <n v="0"/>
    <x v="1"/>
    <n v="0"/>
  </r>
  <r>
    <n v="621391"/>
    <n v="621300"/>
    <x v="896"/>
    <n v="0.105"/>
    <n v="0"/>
    <n v="0.105"/>
    <n v="0"/>
    <x v="1"/>
    <n v="0"/>
  </r>
  <r>
    <n v="621399"/>
    <n v="621300"/>
    <x v="897"/>
    <n v="0.105"/>
    <n v="0"/>
    <n v="0.105"/>
    <n v="0"/>
    <x v="1"/>
    <n v="0"/>
  </r>
  <r>
    <n v="621410"/>
    <n v="621400"/>
    <x v="898"/>
    <n v="9.6000000000000002E-2"/>
    <n v="0"/>
    <n v="9.6000000000000002E-2"/>
    <n v="0"/>
    <x v="1"/>
    <n v="0"/>
  </r>
  <r>
    <n v="621420"/>
    <n v="621400"/>
    <x v="899"/>
    <n v="9.6000000000000002E-2"/>
    <n v="0"/>
    <n v="9.6000000000000002E-2"/>
    <n v="0"/>
    <x v="1"/>
    <n v="0"/>
  </r>
  <r>
    <n v="621491"/>
    <n v="621400"/>
    <x v="900"/>
    <n v="9.6000000000000002E-2"/>
    <n v="0"/>
    <n v="9.6000000000000002E-2"/>
    <n v="0"/>
    <x v="1"/>
    <n v="0"/>
  </r>
  <r>
    <n v="621492"/>
    <n v="621400"/>
    <x v="901"/>
    <n v="9.6000000000000002E-2"/>
    <n v="0"/>
    <n v="9.6000000000000002E-2"/>
    <n v="0"/>
    <x v="1"/>
    <n v="0"/>
  </r>
  <r>
    <n v="621493"/>
    <n v="621400"/>
    <x v="902"/>
    <n v="9.6000000000000002E-2"/>
    <n v="0"/>
    <n v="9.6000000000000002E-2"/>
    <n v="0"/>
    <x v="1"/>
    <n v="0"/>
  </r>
  <r>
    <n v="621498"/>
    <n v="621400"/>
    <x v="903"/>
    <n v="9.6000000000000002E-2"/>
    <n v="0"/>
    <n v="9.6000000000000002E-2"/>
    <n v="0"/>
    <x v="1"/>
    <n v="0"/>
  </r>
  <r>
    <n v="621511"/>
    <n v="621500"/>
    <x v="904"/>
    <n v="9.1999999999999998E-2"/>
    <n v="0"/>
    <n v="9.1999999999999998E-2"/>
    <n v="0"/>
    <x v="1"/>
    <n v="0"/>
  </r>
  <r>
    <n v="621512"/>
    <n v="621500"/>
    <x v="905"/>
    <n v="9.1999999999999998E-2"/>
    <n v="0"/>
    <n v="9.1999999999999998E-2"/>
    <n v="0"/>
    <x v="1"/>
    <n v="0"/>
  </r>
  <r>
    <n v="621610"/>
    <n v="621600"/>
    <x v="906"/>
    <n v="0.104"/>
    <n v="0"/>
    <n v="0.104"/>
    <n v="0"/>
    <x v="1"/>
    <n v="0"/>
  </r>
  <r>
    <n v="621910"/>
    <n v="621900"/>
    <x v="907"/>
    <n v="0.18"/>
    <n v="0"/>
    <n v="0.18"/>
    <n v="0"/>
    <x v="1"/>
    <n v="0"/>
  </r>
  <r>
    <n v="621991"/>
    <n v="621900"/>
    <x v="908"/>
    <n v="0.18"/>
    <n v="0"/>
    <n v="0.18"/>
    <n v="0"/>
    <x v="1"/>
    <n v="0"/>
  </r>
  <r>
    <n v="621999"/>
    <n v="621900"/>
    <x v="909"/>
    <n v="0.18"/>
    <n v="0"/>
    <n v="0.18"/>
    <n v="0"/>
    <x v="1"/>
    <n v="0"/>
  </r>
  <r>
    <n v="622110"/>
    <n v="622000"/>
    <x v="910"/>
    <n v="0.14499999999999999"/>
    <n v="0"/>
    <n v="0.14499999999999999"/>
    <n v="0"/>
    <x v="1"/>
    <n v="0"/>
  </r>
  <r>
    <n v="622210"/>
    <n v="622000"/>
    <x v="911"/>
    <n v="0.14499999999999999"/>
    <n v="0"/>
    <n v="0.14499999999999999"/>
    <n v="0"/>
    <x v="1"/>
    <n v="0"/>
  </r>
  <r>
    <n v="622310"/>
    <n v="622000"/>
    <x v="912"/>
    <n v="0.14499999999999999"/>
    <n v="0"/>
    <n v="0.14499999999999999"/>
    <n v="0"/>
    <x v="1"/>
    <n v="0"/>
  </r>
  <r>
    <n v="623110"/>
    <s v="623A00"/>
    <x v="913"/>
    <n v="0.159"/>
    <n v="0"/>
    <n v="0.159"/>
    <n v="0"/>
    <x v="1"/>
    <n v="0"/>
  </r>
  <r>
    <n v="623210"/>
    <s v="623B00"/>
    <x v="914"/>
    <n v="0.129"/>
    <n v="0"/>
    <n v="0.129"/>
    <n v="0"/>
    <x v="1"/>
    <n v="0"/>
  </r>
  <r>
    <n v="623220"/>
    <s v="623B00"/>
    <x v="915"/>
    <n v="0.129"/>
    <n v="0"/>
    <n v="0.129"/>
    <n v="0"/>
    <x v="1"/>
    <n v="0"/>
  </r>
  <r>
    <n v="623311"/>
    <s v="623A00"/>
    <x v="916"/>
    <n v="0.159"/>
    <n v="0"/>
    <n v="0.159"/>
    <n v="0"/>
    <x v="1"/>
    <n v="0"/>
  </r>
  <r>
    <n v="623312"/>
    <s v="623A00"/>
    <x v="917"/>
    <n v="0.159"/>
    <n v="0"/>
    <n v="0.159"/>
    <n v="0"/>
    <x v="1"/>
    <n v="0"/>
  </r>
  <r>
    <n v="623990"/>
    <s v="623B00"/>
    <x v="918"/>
    <n v="0.129"/>
    <n v="0"/>
    <n v="0.129"/>
    <n v="0"/>
    <x v="1"/>
    <n v="0"/>
  </r>
  <r>
    <n v="624110"/>
    <n v="624100"/>
    <x v="919"/>
    <n v="0.11799999999999999"/>
    <n v="0"/>
    <n v="0.11799999999999999"/>
    <n v="0"/>
    <x v="1"/>
    <n v="0"/>
  </r>
  <r>
    <n v="624120"/>
    <n v="624100"/>
    <x v="920"/>
    <n v="0.11799999999999999"/>
    <n v="0"/>
    <n v="0.11799999999999999"/>
    <n v="0"/>
    <x v="1"/>
    <n v="0"/>
  </r>
  <r>
    <n v="624190"/>
    <n v="624100"/>
    <x v="921"/>
    <n v="0.11799999999999999"/>
    <n v="0"/>
    <n v="0.11799999999999999"/>
    <n v="0"/>
    <x v="1"/>
    <n v="0"/>
  </r>
  <r>
    <n v="624210"/>
    <s v="624A00"/>
    <x v="922"/>
    <n v="0.217"/>
    <n v="0"/>
    <n v="0.217"/>
    <n v="0"/>
    <x v="1"/>
    <n v="0"/>
  </r>
  <r>
    <n v="624221"/>
    <s v="624A00"/>
    <x v="923"/>
    <n v="0.217"/>
    <n v="0"/>
    <n v="0.217"/>
    <n v="0"/>
    <x v="1"/>
    <n v="0"/>
  </r>
  <r>
    <n v="624229"/>
    <s v="624A00"/>
    <x v="924"/>
    <n v="0.217"/>
    <n v="0"/>
    <n v="0.217"/>
    <n v="0"/>
    <x v="1"/>
    <n v="0"/>
  </r>
  <r>
    <n v="624230"/>
    <s v="624A00"/>
    <x v="925"/>
    <n v="0.217"/>
    <n v="0"/>
    <n v="0.217"/>
    <n v="0"/>
    <x v="1"/>
    <n v="0"/>
  </r>
  <r>
    <n v="624310"/>
    <s v="624A00"/>
    <x v="926"/>
    <n v="0.217"/>
    <n v="0"/>
    <n v="0.217"/>
    <n v="0"/>
    <x v="1"/>
    <n v="0"/>
  </r>
  <r>
    <n v="624410"/>
    <n v="624400"/>
    <x v="927"/>
    <n v="0.215"/>
    <n v="0"/>
    <n v="0.215"/>
    <n v="0"/>
    <x v="1"/>
    <n v="0"/>
  </r>
  <r>
    <n v="711110"/>
    <n v="711100"/>
    <x v="928"/>
    <n v="8.5999999999999993E-2"/>
    <n v="0"/>
    <n v="8.5999999999999993E-2"/>
    <n v="0"/>
    <x v="1"/>
    <n v="0"/>
  </r>
  <r>
    <n v="711120"/>
    <n v="711100"/>
    <x v="929"/>
    <n v="8.5999999999999993E-2"/>
    <n v="0"/>
    <n v="8.5999999999999993E-2"/>
    <n v="0"/>
    <x v="1"/>
    <n v="0"/>
  </r>
  <r>
    <n v="711130"/>
    <n v="711100"/>
    <x v="930"/>
    <n v="8.5999999999999993E-2"/>
    <n v="0"/>
    <n v="8.5999999999999993E-2"/>
    <n v="0"/>
    <x v="1"/>
    <n v="0"/>
  </r>
  <r>
    <n v="711190"/>
    <n v="711100"/>
    <x v="931"/>
    <n v="8.5999999999999993E-2"/>
    <n v="0"/>
    <n v="8.5999999999999993E-2"/>
    <n v="0"/>
    <x v="1"/>
    <n v="0"/>
  </r>
  <r>
    <n v="711211"/>
    <n v="711200"/>
    <x v="932"/>
    <n v="6.7000000000000004E-2"/>
    <n v="0"/>
    <n v="6.7000000000000004E-2"/>
    <n v="0"/>
    <x v="1"/>
    <n v="0"/>
  </r>
  <r>
    <n v="711212"/>
    <n v="711200"/>
    <x v="933"/>
    <n v="6.7000000000000004E-2"/>
    <n v="0"/>
    <n v="6.7000000000000004E-2"/>
    <n v="0"/>
    <x v="1"/>
    <n v="0"/>
  </r>
  <r>
    <n v="711219"/>
    <n v="711200"/>
    <x v="934"/>
    <n v="6.7000000000000004E-2"/>
    <n v="0"/>
    <n v="6.7000000000000004E-2"/>
    <n v="0"/>
    <x v="1"/>
    <n v="0"/>
  </r>
  <r>
    <n v="711310"/>
    <s v="711A00"/>
    <x v="935"/>
    <n v="9.2999999999999999E-2"/>
    <n v="0"/>
    <n v="9.2999999999999999E-2"/>
    <n v="0"/>
    <x v="1"/>
    <n v="0"/>
  </r>
  <r>
    <n v="711320"/>
    <s v="711A00"/>
    <x v="936"/>
    <n v="9.2999999999999999E-2"/>
    <n v="0"/>
    <n v="9.2999999999999999E-2"/>
    <n v="0"/>
    <x v="1"/>
    <n v="0"/>
  </r>
  <r>
    <n v="711410"/>
    <s v="711A00"/>
    <x v="937"/>
    <n v="9.2999999999999999E-2"/>
    <n v="0"/>
    <n v="9.2999999999999999E-2"/>
    <n v="0"/>
    <x v="1"/>
    <n v="0"/>
  </r>
  <r>
    <n v="711510"/>
    <n v="711500"/>
    <x v="938"/>
    <n v="3.3000000000000002E-2"/>
    <n v="0"/>
    <n v="3.3000000000000002E-2"/>
    <n v="0"/>
    <x v="1"/>
    <n v="0"/>
  </r>
  <r>
    <n v="712110"/>
    <n v="712000"/>
    <x v="939"/>
    <n v="0.13600000000000001"/>
    <n v="0"/>
    <n v="0.13600000000000001"/>
    <n v="0"/>
    <x v="1"/>
    <n v="0"/>
  </r>
  <r>
    <n v="712120"/>
    <n v="712000"/>
    <x v="940"/>
    <n v="0.13600000000000001"/>
    <n v="0"/>
    <n v="0.13600000000000001"/>
    <n v="0"/>
    <x v="1"/>
    <n v="0"/>
  </r>
  <r>
    <n v="712130"/>
    <n v="712000"/>
    <x v="941"/>
    <n v="0.13600000000000001"/>
    <n v="0"/>
    <n v="0.13600000000000001"/>
    <n v="0"/>
    <x v="1"/>
    <n v="0"/>
  </r>
  <r>
    <n v="712190"/>
    <n v="712000"/>
    <x v="942"/>
    <n v="0.13600000000000001"/>
    <n v="0"/>
    <n v="0.13600000000000001"/>
    <n v="0"/>
    <x v="1"/>
    <n v="0"/>
  </r>
  <r>
    <n v="713110"/>
    <n v="713100"/>
    <x v="943"/>
    <n v="0.16700000000000001"/>
    <n v="0"/>
    <n v="0.16700000000000001"/>
    <n v="0"/>
    <x v="1"/>
    <n v="0"/>
  </r>
  <r>
    <n v="713120"/>
    <n v="713100"/>
    <x v="944"/>
    <n v="0.16700000000000001"/>
    <n v="0"/>
    <n v="0.16700000000000001"/>
    <n v="0"/>
    <x v="1"/>
    <n v="0"/>
  </r>
  <r>
    <n v="713210"/>
    <n v="713200"/>
    <x v="945"/>
    <n v="0.17399999999999999"/>
    <n v="0"/>
    <n v="0.17399999999999999"/>
    <n v="0"/>
    <x v="1"/>
    <n v="0"/>
  </r>
  <r>
    <n v="713290"/>
    <n v="713200"/>
    <x v="946"/>
    <n v="0.17399999999999999"/>
    <n v="0"/>
    <n v="0.17399999999999999"/>
    <n v="0"/>
    <x v="1"/>
    <n v="0"/>
  </r>
  <r>
    <n v="713910"/>
    <n v="713900"/>
    <x v="947"/>
    <n v="0.23499999999999999"/>
    <n v="0"/>
    <n v="0.23499999999999999"/>
    <n v="0"/>
    <x v="1"/>
    <n v="0"/>
  </r>
  <r>
    <n v="713920"/>
    <n v="713900"/>
    <x v="948"/>
    <n v="0.23499999999999999"/>
    <n v="0"/>
    <n v="0.23499999999999999"/>
    <n v="0"/>
    <x v="1"/>
    <n v="0"/>
  </r>
  <r>
    <n v="713930"/>
    <n v="713900"/>
    <x v="949"/>
    <n v="0.23499999999999999"/>
    <n v="0"/>
    <n v="0.23499999999999999"/>
    <n v="0"/>
    <x v="1"/>
    <n v="0"/>
  </r>
  <r>
    <n v="713940"/>
    <n v="713900"/>
    <x v="950"/>
    <n v="0.23499999999999999"/>
    <n v="0"/>
    <n v="0.23499999999999999"/>
    <n v="0"/>
    <x v="1"/>
    <n v="0"/>
  </r>
  <r>
    <n v="713950"/>
    <n v="713900"/>
    <x v="951"/>
    <n v="0.23499999999999999"/>
    <n v="0"/>
    <n v="0.23499999999999999"/>
    <n v="0"/>
    <x v="1"/>
    <n v="0"/>
  </r>
  <r>
    <n v="713990"/>
    <n v="713900"/>
    <x v="952"/>
    <n v="0.23499999999999999"/>
    <n v="0"/>
    <n v="0.23499999999999999"/>
    <n v="0"/>
    <x v="1"/>
    <n v="0"/>
  </r>
  <r>
    <n v="721110"/>
    <n v="721000"/>
    <x v="953"/>
    <n v="0.14499999999999999"/>
    <n v="0"/>
    <n v="0.14499999999999999"/>
    <n v="0"/>
    <x v="1"/>
    <n v="0"/>
  </r>
  <r>
    <n v="721120"/>
    <n v="721000"/>
    <x v="954"/>
    <n v="0.14499999999999999"/>
    <n v="0"/>
    <n v="0.14499999999999999"/>
    <n v="0"/>
    <x v="1"/>
    <n v="0"/>
  </r>
  <r>
    <n v="721191"/>
    <n v="721000"/>
    <x v="955"/>
    <n v="0.14499999999999999"/>
    <n v="0"/>
    <n v="0.14499999999999999"/>
    <n v="0"/>
    <x v="1"/>
    <n v="0"/>
  </r>
  <r>
    <n v="721199"/>
    <n v="721000"/>
    <x v="956"/>
    <n v="0.14499999999999999"/>
    <n v="0"/>
    <n v="0.14499999999999999"/>
    <n v="0"/>
    <x v="1"/>
    <n v="0"/>
  </r>
  <r>
    <n v="721211"/>
    <n v="721000"/>
    <x v="957"/>
    <n v="0.14499999999999999"/>
    <n v="0"/>
    <n v="0.14499999999999999"/>
    <n v="0"/>
    <x v="1"/>
    <n v="0"/>
  </r>
  <r>
    <n v="721214"/>
    <n v="721000"/>
    <x v="958"/>
    <n v="0.14499999999999999"/>
    <n v="0"/>
    <n v="0.14499999999999999"/>
    <n v="0"/>
    <x v="1"/>
    <n v="0"/>
  </r>
  <r>
    <n v="721310"/>
    <n v="721000"/>
    <x v="959"/>
    <n v="0.14499999999999999"/>
    <n v="0"/>
    <n v="0.14499999999999999"/>
    <n v="0"/>
    <x v="1"/>
    <n v="0"/>
  </r>
  <r>
    <n v="722310"/>
    <s v="722A00"/>
    <x v="960"/>
    <n v="0.13200000000000001"/>
    <n v="0"/>
    <n v="0.13200000000000001"/>
    <n v="0"/>
    <x v="1"/>
    <n v="0"/>
  </r>
  <r>
    <n v="722320"/>
    <s v="722A00"/>
    <x v="961"/>
    <n v="0.13200000000000001"/>
    <n v="0"/>
    <n v="0.13200000000000001"/>
    <n v="0"/>
    <x v="1"/>
    <n v="0"/>
  </r>
  <r>
    <n v="722330"/>
    <s v="722A00"/>
    <x v="962"/>
    <n v="0.13200000000000001"/>
    <n v="0"/>
    <n v="0.13200000000000001"/>
    <n v="0"/>
    <x v="1"/>
    <n v="0"/>
  </r>
  <r>
    <n v="722410"/>
    <s v="722A00"/>
    <x v="963"/>
    <n v="0.13200000000000001"/>
    <n v="0"/>
    <n v="0.13200000000000001"/>
    <n v="0"/>
    <x v="1"/>
    <n v="0"/>
  </r>
  <r>
    <n v="722511"/>
    <n v="722110"/>
    <x v="964"/>
    <n v="0.19400000000000001"/>
    <n v="0"/>
    <n v="0.19400000000000001"/>
    <n v="0"/>
    <x v="1"/>
    <n v="0"/>
  </r>
  <r>
    <n v="722513"/>
    <n v="722211"/>
    <x v="965"/>
    <n v="0.255"/>
    <n v="0"/>
    <n v="0.255"/>
    <n v="0"/>
    <x v="1"/>
    <n v="0"/>
  </r>
  <r>
    <n v="722514"/>
    <s v="722A00"/>
    <x v="966"/>
    <n v="0.13200000000000001"/>
    <n v="0"/>
    <n v="0.13200000000000001"/>
    <n v="0"/>
    <x v="1"/>
    <n v="0"/>
  </r>
  <r>
    <n v="722515"/>
    <s v="722A00"/>
    <x v="967"/>
    <n v="0.13200000000000001"/>
    <n v="0"/>
    <n v="0.13200000000000001"/>
    <n v="0"/>
    <x v="1"/>
    <n v="0"/>
  </r>
  <r>
    <n v="811111"/>
    <n v="811100"/>
    <x v="968"/>
    <n v="0.10299999999999999"/>
    <n v="0"/>
    <n v="0.10299999999999999"/>
    <n v="0"/>
    <x v="1"/>
    <n v="0"/>
  </r>
  <r>
    <n v="811112"/>
    <n v="811100"/>
    <x v="969"/>
    <n v="0.10299999999999999"/>
    <n v="0"/>
    <n v="0.10299999999999999"/>
    <n v="0"/>
    <x v="1"/>
    <n v="0"/>
  </r>
  <r>
    <n v="811113"/>
    <n v="811100"/>
    <x v="970"/>
    <n v="0.10299999999999999"/>
    <n v="0"/>
    <n v="0.10299999999999999"/>
    <n v="0"/>
    <x v="1"/>
    <n v="0"/>
  </r>
  <r>
    <n v="811118"/>
    <n v="811100"/>
    <x v="971"/>
    <n v="0.10299999999999999"/>
    <n v="0"/>
    <n v="0.10299999999999999"/>
    <n v="0"/>
    <x v="1"/>
    <n v="0"/>
  </r>
  <r>
    <n v="811121"/>
    <n v="811100"/>
    <x v="972"/>
    <n v="0.10299999999999999"/>
    <n v="0"/>
    <n v="0.10299999999999999"/>
    <n v="0"/>
    <x v="1"/>
    <n v="0"/>
  </r>
  <r>
    <n v="811122"/>
    <n v="811100"/>
    <x v="973"/>
    <n v="0.10299999999999999"/>
    <n v="0"/>
    <n v="0.10299999999999999"/>
    <n v="0"/>
    <x v="1"/>
    <n v="0"/>
  </r>
  <r>
    <n v="811191"/>
    <n v="811100"/>
    <x v="974"/>
    <n v="0.10299999999999999"/>
    <n v="0"/>
    <n v="0.10299999999999999"/>
    <n v="0"/>
    <x v="1"/>
    <n v="0"/>
  </r>
  <r>
    <n v="811192"/>
    <n v="811100"/>
    <x v="975"/>
    <n v="0.10299999999999999"/>
    <n v="0"/>
    <n v="0.10299999999999999"/>
    <n v="0"/>
    <x v="1"/>
    <n v="0"/>
  </r>
  <r>
    <n v="811198"/>
    <n v="811100"/>
    <x v="976"/>
    <n v="0.10299999999999999"/>
    <n v="0"/>
    <n v="0.10299999999999999"/>
    <n v="0"/>
    <x v="1"/>
    <n v="0"/>
  </r>
  <r>
    <n v="811211"/>
    <n v="811200"/>
    <x v="977"/>
    <n v="7.5999999999999998E-2"/>
    <n v="0"/>
    <n v="7.5999999999999998E-2"/>
    <n v="0"/>
    <x v="1"/>
    <n v="0"/>
  </r>
  <r>
    <n v="811212"/>
    <n v="811200"/>
    <x v="978"/>
    <n v="7.5999999999999998E-2"/>
    <n v="0"/>
    <n v="7.5999999999999998E-2"/>
    <n v="0"/>
    <x v="1"/>
    <n v="0"/>
  </r>
  <r>
    <n v="811213"/>
    <n v="811200"/>
    <x v="979"/>
    <n v="7.5999999999999998E-2"/>
    <n v="0"/>
    <n v="7.5999999999999998E-2"/>
    <n v="0"/>
    <x v="1"/>
    <n v="0"/>
  </r>
  <r>
    <n v="811219"/>
    <n v="811200"/>
    <x v="980"/>
    <n v="7.5999999999999998E-2"/>
    <n v="0"/>
    <n v="7.5999999999999998E-2"/>
    <n v="0"/>
    <x v="1"/>
    <n v="0"/>
  </r>
  <r>
    <n v="811310"/>
    <n v="811300"/>
    <x v="981"/>
    <n v="0.13600000000000001"/>
    <n v="0"/>
    <n v="0.13600000000000001"/>
    <n v="0"/>
    <x v="1"/>
    <n v="0"/>
  </r>
  <r>
    <n v="811411"/>
    <n v="811400"/>
    <x v="982"/>
    <n v="0.113"/>
    <n v="0"/>
    <n v="0.113"/>
    <n v="0"/>
    <x v="1"/>
    <n v="0"/>
  </r>
  <r>
    <n v="811412"/>
    <n v="811400"/>
    <x v="983"/>
    <n v="0.113"/>
    <n v="0"/>
    <n v="0.113"/>
    <n v="0"/>
    <x v="1"/>
    <n v="0"/>
  </r>
  <r>
    <n v="811420"/>
    <n v="811400"/>
    <x v="984"/>
    <n v="0.113"/>
    <n v="0"/>
    <n v="0.113"/>
    <n v="0"/>
    <x v="1"/>
    <n v="0"/>
  </r>
  <r>
    <n v="811430"/>
    <n v="811400"/>
    <x v="985"/>
    <n v="0.113"/>
    <n v="0"/>
    <n v="0.113"/>
    <n v="0"/>
    <x v="1"/>
    <n v="0"/>
  </r>
  <r>
    <n v="811490"/>
    <n v="811400"/>
    <x v="986"/>
    <n v="0.113"/>
    <n v="0"/>
    <n v="0.113"/>
    <n v="0"/>
    <x v="1"/>
    <n v="0"/>
  </r>
  <r>
    <n v="812111"/>
    <n v="812100"/>
    <x v="987"/>
    <n v="0.125"/>
    <n v="0"/>
    <n v="0.125"/>
    <n v="0"/>
    <x v="1"/>
    <n v="0"/>
  </r>
  <r>
    <n v="812112"/>
    <n v="812100"/>
    <x v="988"/>
    <n v="0.125"/>
    <n v="0"/>
    <n v="0.125"/>
    <n v="0"/>
    <x v="1"/>
    <n v="0"/>
  </r>
  <r>
    <n v="812113"/>
    <n v="812100"/>
    <x v="989"/>
    <n v="0.125"/>
    <n v="0"/>
    <n v="0.125"/>
    <n v="0"/>
    <x v="1"/>
    <n v="0"/>
  </r>
  <r>
    <n v="812191"/>
    <n v="812100"/>
    <x v="990"/>
    <n v="0.125"/>
    <n v="0"/>
    <n v="0.125"/>
    <n v="0"/>
    <x v="1"/>
    <n v="0"/>
  </r>
  <r>
    <n v="812199"/>
    <n v="812100"/>
    <x v="991"/>
    <n v="0.125"/>
    <n v="0"/>
    <n v="0.125"/>
    <n v="0"/>
    <x v="1"/>
    <n v="0"/>
  </r>
  <r>
    <n v="812210"/>
    <n v="812200"/>
    <x v="992"/>
    <n v="4.7E-2"/>
    <n v="0"/>
    <n v="4.7E-2"/>
    <n v="0"/>
    <x v="1"/>
    <n v="0"/>
  </r>
  <r>
    <n v="812220"/>
    <n v="812200"/>
    <x v="993"/>
    <n v="4.7E-2"/>
    <n v="0"/>
    <n v="4.7E-2"/>
    <n v="0"/>
    <x v="1"/>
    <n v="0"/>
  </r>
  <r>
    <n v="812310"/>
    <n v="812300"/>
    <x v="994"/>
    <n v="0.158"/>
    <n v="0"/>
    <n v="0.158"/>
    <n v="0"/>
    <x v="1"/>
    <n v="0"/>
  </r>
  <r>
    <n v="812320"/>
    <n v="812300"/>
    <x v="995"/>
    <n v="0.158"/>
    <n v="0"/>
    <n v="0.158"/>
    <n v="0"/>
    <x v="1"/>
    <n v="0"/>
  </r>
  <r>
    <n v="812331"/>
    <n v="812300"/>
    <x v="996"/>
    <n v="0.158"/>
    <n v="0"/>
    <n v="0.158"/>
    <n v="0"/>
    <x v="1"/>
    <n v="0"/>
  </r>
  <r>
    <n v="812332"/>
    <n v="812300"/>
    <x v="997"/>
    <n v="0.158"/>
    <n v="0"/>
    <n v="0.158"/>
    <n v="0"/>
    <x v="1"/>
    <n v="0"/>
  </r>
  <r>
    <n v="812910"/>
    <n v="812900"/>
    <x v="998"/>
    <n v="0.111"/>
    <n v="0"/>
    <n v="0.111"/>
    <n v="0"/>
    <x v="1"/>
    <n v="0"/>
  </r>
  <r>
    <n v="812921"/>
    <n v="812900"/>
    <x v="999"/>
    <n v="0.111"/>
    <n v="0"/>
    <n v="0.111"/>
    <n v="0"/>
    <x v="1"/>
    <n v="0"/>
  </r>
  <r>
    <n v="812922"/>
    <n v="812900"/>
    <x v="1000"/>
    <n v="0.111"/>
    <n v="0"/>
    <n v="0.111"/>
    <n v="0"/>
    <x v="1"/>
    <n v="0"/>
  </r>
  <r>
    <n v="812930"/>
    <n v="812900"/>
    <x v="1001"/>
    <n v="0.111"/>
    <n v="0"/>
    <n v="0.111"/>
    <n v="0"/>
    <x v="1"/>
    <n v="0"/>
  </r>
  <r>
    <n v="812990"/>
    <n v="812900"/>
    <x v="1002"/>
    <n v="0.111"/>
    <n v="0"/>
    <n v="0.111"/>
    <n v="0"/>
    <x v="1"/>
    <n v="0"/>
  </r>
  <r>
    <n v="813110"/>
    <n v="813100"/>
    <x v="1003"/>
    <n v="7.5999999999999998E-2"/>
    <n v="0"/>
    <n v="7.5999999999999998E-2"/>
    <n v="0"/>
    <x v="1"/>
    <n v="0"/>
  </r>
  <r>
    <n v="813211"/>
    <s v="813A00"/>
    <x v="1004"/>
    <n v="5.8999999999999997E-2"/>
    <n v="0"/>
    <n v="5.8999999999999997E-2"/>
    <n v="0"/>
    <x v="1"/>
    <n v="0"/>
  </r>
  <r>
    <n v="813212"/>
    <s v="813A00"/>
    <x v="1005"/>
    <n v="5.8999999999999997E-2"/>
    <n v="0"/>
    <n v="5.8999999999999997E-2"/>
    <n v="0"/>
    <x v="1"/>
    <n v="0"/>
  </r>
  <r>
    <n v="813219"/>
    <s v="813A00"/>
    <x v="1006"/>
    <n v="5.8999999999999997E-2"/>
    <n v="0"/>
    <n v="5.8999999999999997E-2"/>
    <n v="0"/>
    <x v="1"/>
    <n v="0"/>
  </r>
  <r>
    <n v="813311"/>
    <s v="813A00"/>
    <x v="1007"/>
    <n v="5.8999999999999997E-2"/>
    <n v="0"/>
    <n v="5.8999999999999997E-2"/>
    <n v="0"/>
    <x v="1"/>
    <n v="0"/>
  </r>
  <r>
    <n v="813312"/>
    <s v="813A00"/>
    <x v="1008"/>
    <n v="5.8999999999999997E-2"/>
    <n v="0"/>
    <n v="5.8999999999999997E-2"/>
    <n v="0"/>
    <x v="1"/>
    <n v="0"/>
  </r>
  <r>
    <n v="813319"/>
    <s v="813A00"/>
    <x v="1009"/>
    <n v="5.8999999999999997E-2"/>
    <n v="0"/>
    <n v="5.8999999999999997E-2"/>
    <n v="0"/>
    <x v="1"/>
    <n v="0"/>
  </r>
  <r>
    <n v="813410"/>
    <s v="813B00"/>
    <x v="1010"/>
    <n v="0.128"/>
    <n v="0"/>
    <n v="0.128"/>
    <n v="0"/>
    <x v="1"/>
    <n v="0"/>
  </r>
  <r>
    <n v="813910"/>
    <s v="813B00"/>
    <x v="1011"/>
    <n v="0.128"/>
    <n v="0"/>
    <n v="0.128"/>
    <n v="0"/>
    <x v="1"/>
    <n v="0"/>
  </r>
  <r>
    <n v="813920"/>
    <s v="813B00"/>
    <x v="1012"/>
    <n v="0.128"/>
    <n v="0"/>
    <n v="0.128"/>
    <n v="0"/>
    <x v="1"/>
    <n v="0"/>
  </r>
  <r>
    <n v="813930"/>
    <s v="813B00"/>
    <x v="1013"/>
    <n v="0.128"/>
    <n v="0"/>
    <n v="0.128"/>
    <n v="0"/>
    <x v="1"/>
    <n v="0"/>
  </r>
  <r>
    <n v="813940"/>
    <s v="813B00"/>
    <x v="1014"/>
    <n v="0.128"/>
    <n v="0"/>
    <n v="0.128"/>
    <n v="0"/>
    <x v="1"/>
    <n v="0"/>
  </r>
  <r>
    <n v="813990"/>
    <s v="813B00"/>
    <x v="1015"/>
    <n v="0.128"/>
    <n v="0"/>
    <n v="0.128"/>
    <n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04255-F1EB-46B1-9118-9CAD486E53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:C35" firstHeaderRow="1" firstDataRow="1" firstDataCol="1"/>
  <pivotFields count="9">
    <pivotField showAll="0"/>
    <pivotField showAll="0"/>
    <pivotField axis="axisRow" showAll="0" measureFilter="1">
      <items count="1017">
        <item x="292"/>
        <item x="253"/>
        <item x="800"/>
        <item x="811"/>
        <item x="817"/>
        <item x="937"/>
        <item x="375"/>
        <item x="660"/>
        <item x="365"/>
        <item x="447"/>
        <item x="446"/>
        <item x="952"/>
        <item x="48"/>
        <item x="976"/>
        <item x="240"/>
        <item x="843"/>
        <item x="769"/>
        <item x="224"/>
        <item x="609"/>
        <item x="7"/>
        <item x="589"/>
        <item x="567"/>
        <item x="710"/>
        <item x="745"/>
        <item x="199"/>
        <item x="779"/>
        <item x="74"/>
        <item x="909"/>
        <item x="262"/>
        <item x="29"/>
        <item x="430"/>
        <item x="349"/>
        <item x="169"/>
        <item x="388"/>
        <item x="485"/>
        <item x="296"/>
        <item x="887"/>
        <item x="618"/>
        <item x="188"/>
        <item x="871"/>
        <item x="213"/>
        <item x="722"/>
        <item x="86"/>
        <item x="903"/>
        <item x="1002"/>
        <item x="233"/>
        <item x="656"/>
        <item x="273"/>
        <item x="824"/>
        <item x="685"/>
        <item x="278"/>
        <item x="583"/>
        <item x="126"/>
        <item x="672"/>
        <item x="860"/>
        <item x="705"/>
        <item x="652"/>
        <item x="457"/>
        <item x="847"/>
        <item x="956"/>
        <item x="301"/>
        <item x="312"/>
        <item x="302"/>
        <item x="907"/>
        <item x="346"/>
        <item x="943"/>
        <item x="944"/>
        <item x="408"/>
        <item x="151"/>
        <item x="68"/>
        <item x="45"/>
        <item x="195"/>
        <item x="12"/>
        <item x="983"/>
        <item x="880"/>
        <item x="784"/>
        <item x="850"/>
        <item x="615"/>
        <item x="243"/>
        <item x="230"/>
        <item x="231"/>
        <item x="917"/>
        <item x="395"/>
        <item x="404"/>
        <item x="486"/>
        <item x="886"/>
        <item x="431"/>
        <item x="972"/>
        <item x="969"/>
        <item x="973"/>
        <item x="974"/>
        <item x="562"/>
        <item x="970"/>
        <item x="581"/>
        <item x="344"/>
        <item x="987"/>
        <item x="396"/>
        <item x="988"/>
        <item x="955"/>
        <item x="30"/>
        <item x="547"/>
        <item x="584"/>
        <item x="136"/>
        <item x="15"/>
        <item x="251"/>
        <item x="66"/>
        <item x="67"/>
        <item x="411"/>
        <item x="469"/>
        <item x="908"/>
        <item x="454"/>
        <item x="560"/>
        <item x="336"/>
        <item x="682"/>
        <item x="605"/>
        <item x="550"/>
        <item x="227"/>
        <item x="171"/>
        <item x="951"/>
        <item x="135"/>
        <item x="173"/>
        <item x="493"/>
        <item x="178"/>
        <item x="36"/>
        <item x="483"/>
        <item x="788"/>
        <item x="484"/>
        <item x="644"/>
        <item x="875"/>
        <item x="1011"/>
        <item x="555"/>
        <item x="700"/>
        <item x="966"/>
        <item x="137"/>
        <item x="398"/>
        <item x="975"/>
        <item x="429"/>
        <item x="184"/>
        <item x="856"/>
        <item x="954"/>
        <item x="945"/>
        <item x="961"/>
        <item x="31"/>
        <item x="285"/>
        <item x="993"/>
        <item x="650"/>
        <item x="148"/>
        <item x="35"/>
        <item x="919"/>
        <item x="927"/>
        <item x="594"/>
        <item x="139"/>
        <item x="11"/>
        <item x="1010"/>
        <item x="743"/>
        <item x="82"/>
        <item x="280"/>
        <item x="596"/>
        <item x="504"/>
        <item x="632"/>
        <item x="633"/>
        <item x="164"/>
        <item x="994"/>
        <item x="839"/>
        <item x="874"/>
        <item x="771"/>
        <item x="981"/>
        <item x="101"/>
        <item x="157"/>
        <item x="712"/>
        <item x="821"/>
        <item x="225"/>
        <item x="226"/>
        <item x="415"/>
        <item x="729"/>
        <item x="728"/>
        <item x="979"/>
        <item x="922"/>
        <item x="643"/>
        <item x="498"/>
        <item x="978"/>
        <item x="798"/>
        <item x="390"/>
        <item x="797"/>
        <item x="391"/>
        <item x="876"/>
        <item x="287"/>
        <item x="288"/>
        <item x="582"/>
        <item x="140"/>
        <item x="535"/>
        <item x="512"/>
        <item x="352"/>
        <item x="79"/>
        <item x="772"/>
        <item x="764"/>
        <item x="977"/>
        <item x="718"/>
        <item x="916"/>
        <item x="577"/>
        <item x="859"/>
        <item x="846"/>
        <item x="378"/>
        <item x="159"/>
        <item x="305"/>
        <item x="72"/>
        <item x="4"/>
        <item x="827"/>
        <item x="218"/>
        <item x="586"/>
        <item x="878"/>
        <item x="24"/>
        <item x="56"/>
        <item x="674"/>
        <item x="842"/>
        <item x="147"/>
        <item x="840"/>
        <item x="716"/>
        <item x="714"/>
        <item x="58"/>
        <item x="64"/>
        <item x="77"/>
        <item x="76"/>
        <item x="427"/>
        <item x="185"/>
        <item x="465"/>
        <item x="260"/>
        <item x="796"/>
        <item x="316"/>
        <item x="191"/>
        <item x="208"/>
        <item x="293"/>
        <item x="368"/>
        <item x="239"/>
        <item x="32"/>
        <item x="533"/>
        <item x="929"/>
        <item x="706"/>
        <item x="630"/>
        <item x="631"/>
        <item x="472"/>
        <item x="474"/>
        <item x="607"/>
        <item x="905"/>
        <item x="990"/>
        <item x="75"/>
        <item x="737"/>
        <item x="736"/>
        <item x="816"/>
        <item x="738"/>
        <item x="739"/>
        <item x="683"/>
        <item x="175"/>
        <item x="834"/>
        <item x="127"/>
        <item x="477"/>
        <item x="787"/>
        <item x="145"/>
        <item x="87"/>
        <item x="963"/>
        <item x="690"/>
        <item x="526"/>
        <item x="160"/>
        <item x="2"/>
        <item x="149"/>
        <item x="995"/>
        <item x="119"/>
        <item x="33"/>
        <item x="888"/>
        <item x="413"/>
        <item x="505"/>
        <item x="116"/>
        <item x="402"/>
        <item x="389"/>
        <item x="399"/>
        <item x="619"/>
        <item x="569"/>
        <item x="339"/>
        <item x="872"/>
        <item x="377"/>
        <item x="925"/>
        <item x="830"/>
        <item x="204"/>
        <item x="786"/>
        <item x="1008"/>
        <item x="805"/>
        <item x="238"/>
        <item x="885"/>
        <item x="831"/>
        <item x="259"/>
        <item x="853"/>
        <item x="183"/>
        <item x="348"/>
        <item x="322"/>
        <item x="829"/>
        <item x="595"/>
        <item x="898"/>
        <item x="513"/>
        <item x="60"/>
        <item x="350"/>
        <item x="61"/>
        <item x="678"/>
        <item x="549"/>
        <item x="482"/>
        <item x="134"/>
        <item x="246"/>
        <item x="425"/>
        <item x="177"/>
        <item x="724"/>
        <item x="882"/>
        <item x="42"/>
        <item x="52"/>
        <item x="123"/>
        <item x="579"/>
        <item x="536"/>
        <item x="950"/>
        <item x="281"/>
        <item x="165"/>
        <item x="879"/>
        <item x="565"/>
        <item x="121"/>
        <item x="22"/>
        <item x="610"/>
        <item x="129"/>
        <item x="551"/>
        <item x="146"/>
        <item x="385"/>
        <item x="386"/>
        <item x="341"/>
        <item x="219"/>
        <item x="588"/>
        <item x="355"/>
        <item x="960"/>
        <item x="985"/>
        <item x="197"/>
        <item x="530"/>
        <item x="50"/>
        <item x="765"/>
        <item x="110"/>
        <item x="902"/>
        <item x="670"/>
        <item x="538"/>
        <item x="158"/>
        <item x="141"/>
        <item x="142"/>
        <item x="17"/>
        <item x="143"/>
        <item x="580"/>
        <item x="621"/>
        <item x="964"/>
        <item x="992"/>
        <item x="47"/>
        <item x="490"/>
        <item x="564"/>
        <item x="480"/>
        <item x="590"/>
        <item x="968"/>
        <item x="636"/>
        <item x="638"/>
        <item x="637"/>
        <item x="531"/>
        <item x="910"/>
        <item x="770"/>
        <item x="676"/>
        <item x="789"/>
        <item x="612"/>
        <item x="112"/>
        <item x="283"/>
        <item x="284"/>
        <item x="41"/>
        <item x="70"/>
        <item x="947"/>
        <item x="540"/>
        <item x="1004"/>
        <item x="13"/>
        <item x="794"/>
        <item x="684"/>
        <item x="294"/>
        <item x="449"/>
        <item x="450"/>
        <item x="291"/>
        <item x="331"/>
        <item x="508"/>
        <item x="572"/>
        <item x="202"/>
        <item x="26"/>
        <item x="862"/>
        <item x="864"/>
        <item x="747"/>
        <item x="364"/>
        <item x="433"/>
        <item x="106"/>
        <item x="940"/>
        <item x="900"/>
        <item x="602"/>
        <item x="34"/>
        <item x="982"/>
        <item x="570"/>
        <item x="491"/>
        <item x="906"/>
        <item x="767"/>
        <item x="46"/>
        <item x="189"/>
        <item x="953"/>
        <item x="568"/>
        <item x="506"/>
        <item x="462"/>
        <item x="801"/>
        <item x="1007"/>
        <item x="55"/>
        <item x="150"/>
        <item x="172"/>
        <item x="938"/>
        <item x="363"/>
        <item x="525"/>
        <item x="100"/>
        <item x="793"/>
        <item x="235"/>
        <item x="997"/>
        <item x="514"/>
        <item x="366"/>
        <item x="384"/>
        <item x="80"/>
        <item x="515"/>
        <item x="380"/>
        <item x="340"/>
        <item x="634"/>
        <item x="635"/>
        <item x="463"/>
        <item x="407"/>
        <item x="405"/>
        <item x="742"/>
        <item x="792"/>
        <item x="720"/>
        <item x="709"/>
        <item x="646"/>
        <item x="848"/>
        <item x="733"/>
        <item x="726"/>
        <item x="250"/>
        <item x="314"/>
        <item x="297"/>
        <item x="298"/>
        <item x="308"/>
        <item x="69"/>
        <item x="409"/>
        <item x="854"/>
        <item x="475"/>
        <item x="599"/>
        <item x="521"/>
        <item x="873"/>
        <item x="81"/>
        <item x="901"/>
        <item x="181"/>
        <item x="1013"/>
        <item x="268"/>
        <item x="105"/>
        <item x="785"/>
        <item x="855"/>
        <item x="884"/>
        <item x="351"/>
        <item x="196"/>
        <item x="754"/>
        <item x="775"/>
        <item x="753"/>
        <item x="755"/>
        <item x="752"/>
        <item x="708"/>
        <item x="432"/>
        <item x="290"/>
        <item x="965"/>
        <item x="648"/>
        <item x="628"/>
        <item x="996"/>
        <item x="541"/>
        <item x="675"/>
        <item x="852"/>
        <item x="51"/>
        <item x="600"/>
        <item x="492"/>
        <item x="334"/>
        <item x="369"/>
        <item x="418"/>
        <item x="131"/>
        <item x="616"/>
        <item x="211"/>
        <item x="949"/>
        <item x="665"/>
        <item x="802"/>
        <item x="819"/>
        <item x="111"/>
        <item x="869"/>
        <item x="468"/>
        <item x="166"/>
        <item x="376"/>
        <item x="537"/>
        <item x="578"/>
        <item x="152"/>
        <item x="373"/>
        <item x="813"/>
        <item x="814"/>
        <item x="904"/>
        <item x="500"/>
        <item x="248"/>
        <item x="528"/>
        <item x="192"/>
        <item x="592"/>
        <item x="329"/>
        <item x="338"/>
        <item x="318"/>
        <item x="337"/>
        <item x="461"/>
        <item x="319"/>
        <item x="503"/>
        <item x="328"/>
        <item x="324"/>
        <item x="456"/>
        <item x="295"/>
        <item x="353"/>
        <item x="735"/>
        <item x="731"/>
        <item x="642"/>
        <item x="962"/>
        <item x="711"/>
        <item x="723"/>
        <item x="688"/>
        <item x="687"/>
        <item x="689"/>
        <item x="420"/>
        <item x="436"/>
        <item x="434"/>
        <item x="441"/>
        <item x="439"/>
        <item x="438"/>
        <item x="444"/>
        <item x="489"/>
        <item x="443"/>
        <item x="440"/>
        <item x="487"/>
        <item x="668"/>
        <item x="442"/>
        <item x="561"/>
        <item x="455"/>
        <item x="939"/>
        <item x="19"/>
        <item x="693"/>
        <item x="930"/>
        <item x="604"/>
        <item x="481"/>
        <item x="989"/>
        <item x="179"/>
        <item x="92"/>
        <item x="65"/>
        <item x="942"/>
        <item x="666"/>
        <item x="557"/>
        <item x="98"/>
        <item x="97"/>
        <item x="96"/>
        <item x="606"/>
        <item x="707"/>
        <item x="680"/>
        <item x="216"/>
        <item x="244"/>
        <item x="138"/>
        <item x="428"/>
        <item x="315"/>
        <item x="304"/>
        <item x="306"/>
        <item x="311"/>
        <item x="758"/>
        <item x="626"/>
        <item x="625"/>
        <item x="460"/>
        <item x="180"/>
        <item x="21"/>
        <item x="575"/>
        <item x="913"/>
        <item x="828"/>
        <item x="497"/>
        <item x="466"/>
        <item x="773"/>
        <item x="478"/>
        <item x="611"/>
        <item x="897"/>
        <item x="825"/>
        <item x="780"/>
        <item x="892"/>
        <item x="891"/>
        <item x="776"/>
        <item x="894"/>
        <item x="777"/>
        <item x="893"/>
        <item x="826"/>
        <item x="895"/>
        <item x="889"/>
        <item x="890"/>
        <item x="896"/>
        <item x="756"/>
        <item x="759"/>
        <item x="354"/>
        <item x="103"/>
        <item x="1"/>
        <item x="6"/>
        <item x="1000"/>
        <item x="749"/>
        <item x="473"/>
        <item x="501"/>
        <item x="587"/>
        <item x="360"/>
        <item x="10"/>
        <item x="326"/>
        <item x="783"/>
        <item x="725"/>
        <item x="760"/>
        <item x="448"/>
        <item x="661"/>
        <item x="303"/>
        <item x="128"/>
        <item x="190"/>
        <item x="44"/>
        <item x="971"/>
        <item x="237"/>
        <item x="118"/>
        <item x="124"/>
        <item x="573"/>
        <item x="838"/>
        <item x="544"/>
        <item x="85"/>
        <item x="597"/>
        <item x="774"/>
        <item x="362"/>
        <item x="499"/>
        <item x="426"/>
        <item x="394"/>
        <item x="924"/>
        <item x="799"/>
        <item x="289"/>
        <item x="495"/>
        <item x="78"/>
        <item x="194"/>
        <item x="715"/>
        <item x="740"/>
        <item x="622"/>
        <item x="980"/>
        <item x="401"/>
        <item x="507"/>
        <item x="374"/>
        <item x="333"/>
        <item x="542"/>
        <item x="751"/>
        <item x="20"/>
        <item x="115"/>
        <item x="946"/>
        <item x="591"/>
        <item x="1006"/>
        <item x="539"/>
        <item x="451"/>
        <item x="107"/>
        <item x="921"/>
        <item x="359"/>
        <item x="748"/>
        <item x="416"/>
        <item x="804"/>
        <item x="54"/>
        <item x="410"/>
        <item x="330"/>
        <item x="343"/>
        <item x="209"/>
        <item x="522"/>
        <item x="554"/>
        <item x="692"/>
        <item x="445"/>
        <item x="18"/>
        <item x="313"/>
        <item x="867"/>
        <item x="627"/>
        <item x="220"/>
        <item x="931"/>
        <item x="986"/>
        <item x="991"/>
        <item x="39"/>
        <item x="282"/>
        <item x="502"/>
        <item x="918"/>
        <item x="806"/>
        <item x="818"/>
        <item x="857"/>
        <item x="1015"/>
        <item x="163"/>
        <item x="1009"/>
        <item x="696"/>
        <item x="795"/>
        <item x="934"/>
        <item x="662"/>
        <item x="669"/>
        <item x="667"/>
        <item x="881"/>
        <item x="645"/>
        <item x="9"/>
        <item x="679"/>
        <item x="863"/>
        <item x="815"/>
        <item x="574"/>
        <item x="899"/>
        <item x="379"/>
        <item x="532"/>
        <item x="858"/>
        <item x="383"/>
        <item x="671"/>
        <item x="252"/>
        <item x="571"/>
        <item x="553"/>
        <item x="120"/>
        <item x="215"/>
        <item x="221"/>
        <item x="217"/>
        <item x="1001"/>
        <item x="762"/>
        <item x="761"/>
        <item x="782"/>
        <item x="28"/>
        <item x="746"/>
        <item x="681"/>
        <item x="168"/>
        <item x="247"/>
        <item x="614"/>
        <item x="998"/>
        <item x="234"/>
        <item x="546"/>
        <item x="545"/>
        <item x="232"/>
        <item x="229"/>
        <item x="249"/>
        <item x="585"/>
        <item x="84"/>
        <item x="245"/>
        <item x="999"/>
        <item x="361"/>
        <item x="496"/>
        <item x="261"/>
        <item x="820"/>
        <item x="527"/>
        <item x="653"/>
        <item x="654"/>
        <item x="655"/>
        <item x="263"/>
        <item x="271"/>
        <item x="241"/>
        <item x="543"/>
        <item x="264"/>
        <item x="267"/>
        <item x="272"/>
        <item x="323"/>
        <item x="509"/>
        <item x="342"/>
        <item x="117"/>
        <item x="255"/>
        <item x="1014"/>
        <item x="269"/>
        <item x="664"/>
        <item x="732"/>
        <item x="673"/>
        <item x="59"/>
        <item x="83"/>
        <item x="8"/>
        <item x="279"/>
        <item x="534"/>
        <item x="38"/>
        <item x="154"/>
        <item x="108"/>
        <item x="317"/>
        <item x="104"/>
        <item x="327"/>
        <item x="419"/>
        <item x="381"/>
        <item x="335"/>
        <item x="321"/>
        <item x="212"/>
        <item x="424"/>
        <item x="400"/>
        <item x="523"/>
        <item x="258"/>
        <item x="358"/>
        <item x="837"/>
        <item x="803"/>
        <item x="877"/>
        <item x="833"/>
        <item x="1012"/>
        <item x="935"/>
        <item x="936"/>
        <item x="911"/>
        <item x="812"/>
        <item x="214"/>
        <item x="933"/>
        <item x="393"/>
        <item x="697"/>
        <item x="698"/>
        <item x="452"/>
        <item x="286"/>
        <item x="719"/>
        <item x="206"/>
        <item x="695"/>
        <item x="958"/>
        <item x="768"/>
        <item x="559"/>
        <item x="520"/>
        <item x="677"/>
        <item x="511"/>
        <item x="741"/>
        <item x="422"/>
        <item x="1003"/>
        <item x="868"/>
        <item x="153"/>
        <item x="841"/>
        <item x="808"/>
        <item x="807"/>
        <item x="809"/>
        <item x="810"/>
        <item x="414"/>
        <item x="914"/>
        <item x="915"/>
        <item x="757"/>
        <item x="99"/>
        <item x="156"/>
        <item x="984"/>
        <item x="5"/>
        <item x="130"/>
        <item x="162"/>
        <item x="299"/>
        <item x="370"/>
        <item x="113"/>
        <item x="494"/>
        <item x="959"/>
        <item x="187"/>
        <item x="276"/>
        <item x="277"/>
        <item x="957"/>
        <item x="717"/>
        <item x="223"/>
        <item x="703"/>
        <item x="713"/>
        <item x="320"/>
        <item x="357"/>
        <item x="200"/>
        <item x="387"/>
        <item x="657"/>
        <item x="659"/>
        <item x="658"/>
        <item x="624"/>
        <item x="623"/>
        <item x="649"/>
        <item x="155"/>
        <item x="403"/>
        <item x="721"/>
        <item x="307"/>
        <item x="730"/>
        <item x="727"/>
        <item x="849"/>
        <item x="851"/>
        <item x="397"/>
        <item x="356"/>
        <item x="870"/>
        <item x="516"/>
        <item x="920"/>
        <item x="94"/>
        <item x="603"/>
        <item x="40"/>
        <item x="325"/>
        <item x="43"/>
        <item x="53"/>
        <item x="453"/>
        <item x="598"/>
        <item x="629"/>
        <item x="467"/>
        <item x="114"/>
        <item x="479"/>
        <item x="71"/>
        <item x="125"/>
        <item x="948"/>
        <item x="345"/>
        <item x="347"/>
        <item x="417"/>
        <item x="967"/>
        <item x="254"/>
        <item x="170"/>
        <item x="412"/>
        <item x="686"/>
        <item x="203"/>
        <item x="57"/>
        <item x="861"/>
        <item x="866"/>
        <item x="865"/>
        <item x="694"/>
        <item x="133"/>
        <item x="0"/>
        <item x="367"/>
        <item x="651"/>
        <item x="640"/>
        <item x="641"/>
        <item x="912"/>
        <item x="144"/>
        <item x="372"/>
        <item x="167"/>
        <item x="476"/>
        <item x="518"/>
        <item x="601"/>
        <item x="883"/>
        <item x="932"/>
        <item x="332"/>
        <item x="524"/>
        <item x="222"/>
        <item x="95"/>
        <item x="310"/>
        <item x="309"/>
        <item x="300"/>
        <item x="423"/>
        <item x="14"/>
        <item x="109"/>
        <item x="27"/>
        <item x="25"/>
        <item x="576"/>
        <item x="228"/>
        <item x="62"/>
        <item x="89"/>
        <item x="63"/>
        <item x="90"/>
        <item x="91"/>
        <item x="88"/>
        <item x="663"/>
        <item x="256"/>
        <item x="470"/>
        <item x="471"/>
        <item x="790"/>
        <item x="421"/>
        <item x="236"/>
        <item x="242"/>
        <item x="781"/>
        <item x="647"/>
        <item x="704"/>
        <item x="836"/>
        <item x="835"/>
        <item x="392"/>
        <item x="691"/>
        <item x="699"/>
        <item x="832"/>
        <item x="923"/>
        <item x="791"/>
        <item x="182"/>
        <item x="186"/>
        <item x="928"/>
        <item x="744"/>
        <item x="122"/>
        <item x="49"/>
        <item x="488"/>
        <item x="563"/>
        <item x="274"/>
        <item x="275"/>
        <item x="778"/>
        <item x="552"/>
        <item x="23"/>
        <item x="176"/>
        <item x="617"/>
        <item x="257"/>
        <item x="161"/>
        <item x="406"/>
        <item x="845"/>
        <item x="519"/>
        <item x="822"/>
        <item x="517"/>
        <item x="844"/>
        <item x="437"/>
        <item x="16"/>
        <item x="435"/>
        <item x="763"/>
        <item x="205"/>
        <item x="734"/>
        <item x="750"/>
        <item x="371"/>
        <item x="37"/>
        <item x="265"/>
        <item x="266"/>
        <item x="459"/>
        <item x="73"/>
        <item x="270"/>
        <item x="558"/>
        <item x="639"/>
        <item x="613"/>
        <item x="620"/>
        <item x="823"/>
        <item x="766"/>
        <item x="926"/>
        <item x="1005"/>
        <item x="608"/>
        <item x="510"/>
        <item x="102"/>
        <item x="93"/>
        <item x="382"/>
        <item x="132"/>
        <item x="3"/>
        <item x="556"/>
        <item x="566"/>
        <item x="548"/>
        <item x="174"/>
        <item x="701"/>
        <item x="702"/>
        <item x="593"/>
        <item x="198"/>
        <item x="529"/>
        <item x="193"/>
        <item x="210"/>
        <item x="458"/>
        <item x="464"/>
        <item x="201"/>
        <item x="207"/>
        <item x="941"/>
        <item t="default"/>
      </items>
    </pivotField>
    <pivotField showAll="0"/>
    <pivotField showAll="0"/>
    <pivotField dataField="1" showAll="0"/>
    <pivotField showAll="0"/>
    <pivotField showAll="0"/>
    <pivotField numFmtId="164" showAll="0"/>
  </pivotFields>
  <rowFields count="1">
    <field x="2"/>
  </rowFields>
  <rowItems count="12">
    <i>
      <x v="46"/>
    </i>
    <i>
      <x v="99"/>
    </i>
    <i>
      <x v="142"/>
    </i>
    <i>
      <x v="143"/>
    </i>
    <i>
      <x v="234"/>
    </i>
    <i>
      <x v="267"/>
    </i>
    <i>
      <x v="380"/>
    </i>
    <i>
      <x v="469"/>
    </i>
    <i>
      <x v="743"/>
    </i>
    <i>
      <x v="744"/>
    </i>
    <i>
      <x v="745"/>
    </i>
    <i t="grand">
      <x/>
    </i>
  </rowItems>
  <colItems count="1">
    <i/>
  </colItems>
  <dataFields count="1">
    <dataField name="Average of With Margins" fld="5" subtotal="average" baseField="2" baseItem="0" numFmtId="165"/>
  </dataFields>
  <formats count="5">
    <format dxfId="18">
      <pivotArea dataOnly="0" labelOnly="1" grandRow="1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F042E-5E76-4846-8C77-BAE38FDADA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8:G44" firstHeaderRow="1" firstDataRow="1" firstDataCol="1"/>
  <pivotFields count="9">
    <pivotField showAll="0"/>
    <pivotField showAll="0"/>
    <pivotField axis="axisRow" showAll="0" measureFilter="1">
      <items count="1017">
        <item x="292"/>
        <item x="253"/>
        <item x="800"/>
        <item x="811"/>
        <item x="817"/>
        <item x="937"/>
        <item x="375"/>
        <item x="660"/>
        <item x="365"/>
        <item x="447"/>
        <item x="446"/>
        <item x="952"/>
        <item x="48"/>
        <item x="976"/>
        <item x="240"/>
        <item x="843"/>
        <item x="769"/>
        <item x="224"/>
        <item x="609"/>
        <item x="7"/>
        <item x="589"/>
        <item x="567"/>
        <item x="710"/>
        <item x="745"/>
        <item x="199"/>
        <item x="779"/>
        <item x="74"/>
        <item x="909"/>
        <item x="262"/>
        <item x="29"/>
        <item x="430"/>
        <item x="349"/>
        <item x="169"/>
        <item x="388"/>
        <item x="485"/>
        <item x="296"/>
        <item x="887"/>
        <item x="618"/>
        <item x="188"/>
        <item x="871"/>
        <item x="213"/>
        <item x="722"/>
        <item x="86"/>
        <item x="903"/>
        <item x="1002"/>
        <item x="233"/>
        <item x="656"/>
        <item x="273"/>
        <item x="824"/>
        <item x="685"/>
        <item x="278"/>
        <item x="583"/>
        <item x="126"/>
        <item x="672"/>
        <item x="860"/>
        <item x="705"/>
        <item x="652"/>
        <item x="457"/>
        <item x="847"/>
        <item x="956"/>
        <item x="301"/>
        <item x="312"/>
        <item x="302"/>
        <item x="907"/>
        <item x="346"/>
        <item x="943"/>
        <item x="944"/>
        <item x="408"/>
        <item x="151"/>
        <item x="68"/>
        <item x="45"/>
        <item x="195"/>
        <item x="12"/>
        <item x="983"/>
        <item x="880"/>
        <item x="784"/>
        <item x="850"/>
        <item x="615"/>
        <item x="243"/>
        <item x="230"/>
        <item x="231"/>
        <item x="917"/>
        <item x="395"/>
        <item x="404"/>
        <item x="486"/>
        <item x="886"/>
        <item x="431"/>
        <item x="972"/>
        <item x="969"/>
        <item x="973"/>
        <item x="974"/>
        <item x="562"/>
        <item x="970"/>
        <item x="581"/>
        <item x="344"/>
        <item x="987"/>
        <item x="396"/>
        <item x="988"/>
        <item x="955"/>
        <item x="30"/>
        <item x="547"/>
        <item x="584"/>
        <item x="136"/>
        <item x="15"/>
        <item x="251"/>
        <item x="66"/>
        <item x="67"/>
        <item x="411"/>
        <item x="469"/>
        <item x="908"/>
        <item x="454"/>
        <item x="560"/>
        <item x="336"/>
        <item x="682"/>
        <item x="605"/>
        <item x="550"/>
        <item x="227"/>
        <item x="171"/>
        <item x="951"/>
        <item x="135"/>
        <item x="173"/>
        <item x="493"/>
        <item x="178"/>
        <item x="36"/>
        <item x="483"/>
        <item x="788"/>
        <item x="484"/>
        <item x="644"/>
        <item x="875"/>
        <item x="1011"/>
        <item x="555"/>
        <item x="700"/>
        <item x="966"/>
        <item x="137"/>
        <item x="398"/>
        <item x="975"/>
        <item x="429"/>
        <item x="184"/>
        <item x="856"/>
        <item x="954"/>
        <item x="945"/>
        <item x="961"/>
        <item x="31"/>
        <item x="285"/>
        <item x="993"/>
        <item x="650"/>
        <item x="148"/>
        <item x="35"/>
        <item x="919"/>
        <item x="927"/>
        <item x="594"/>
        <item x="139"/>
        <item x="11"/>
        <item x="1010"/>
        <item x="743"/>
        <item x="82"/>
        <item x="280"/>
        <item x="596"/>
        <item x="504"/>
        <item x="632"/>
        <item x="633"/>
        <item x="164"/>
        <item x="994"/>
        <item x="839"/>
        <item x="874"/>
        <item x="771"/>
        <item x="981"/>
        <item x="101"/>
        <item x="157"/>
        <item x="712"/>
        <item x="821"/>
        <item x="225"/>
        <item x="226"/>
        <item x="415"/>
        <item x="729"/>
        <item x="728"/>
        <item x="979"/>
        <item x="922"/>
        <item x="643"/>
        <item x="498"/>
        <item x="978"/>
        <item x="798"/>
        <item x="390"/>
        <item x="797"/>
        <item x="391"/>
        <item x="876"/>
        <item x="287"/>
        <item x="288"/>
        <item x="582"/>
        <item x="140"/>
        <item x="535"/>
        <item x="512"/>
        <item x="352"/>
        <item x="79"/>
        <item x="772"/>
        <item x="764"/>
        <item x="977"/>
        <item x="718"/>
        <item x="916"/>
        <item x="577"/>
        <item x="859"/>
        <item x="846"/>
        <item x="378"/>
        <item x="159"/>
        <item x="305"/>
        <item x="72"/>
        <item x="4"/>
        <item x="827"/>
        <item x="218"/>
        <item x="586"/>
        <item x="878"/>
        <item x="24"/>
        <item x="56"/>
        <item x="674"/>
        <item x="842"/>
        <item x="147"/>
        <item x="840"/>
        <item x="716"/>
        <item x="714"/>
        <item x="58"/>
        <item x="64"/>
        <item x="77"/>
        <item x="76"/>
        <item x="427"/>
        <item x="185"/>
        <item x="465"/>
        <item x="260"/>
        <item x="796"/>
        <item x="316"/>
        <item x="191"/>
        <item x="208"/>
        <item x="293"/>
        <item x="368"/>
        <item x="239"/>
        <item x="32"/>
        <item x="533"/>
        <item x="929"/>
        <item x="706"/>
        <item x="630"/>
        <item x="631"/>
        <item x="472"/>
        <item x="474"/>
        <item x="607"/>
        <item x="905"/>
        <item x="990"/>
        <item x="75"/>
        <item x="737"/>
        <item x="736"/>
        <item x="816"/>
        <item x="738"/>
        <item x="739"/>
        <item x="683"/>
        <item x="175"/>
        <item x="834"/>
        <item x="127"/>
        <item x="477"/>
        <item x="787"/>
        <item x="145"/>
        <item x="87"/>
        <item x="963"/>
        <item x="690"/>
        <item x="526"/>
        <item x="160"/>
        <item x="2"/>
        <item x="149"/>
        <item x="995"/>
        <item x="119"/>
        <item x="33"/>
        <item x="888"/>
        <item x="413"/>
        <item x="505"/>
        <item x="116"/>
        <item x="402"/>
        <item x="389"/>
        <item x="399"/>
        <item x="619"/>
        <item x="569"/>
        <item x="339"/>
        <item x="872"/>
        <item x="377"/>
        <item x="925"/>
        <item x="830"/>
        <item x="204"/>
        <item x="786"/>
        <item x="1008"/>
        <item x="805"/>
        <item x="238"/>
        <item x="885"/>
        <item x="831"/>
        <item x="259"/>
        <item x="853"/>
        <item x="183"/>
        <item x="348"/>
        <item x="322"/>
        <item x="829"/>
        <item x="595"/>
        <item x="898"/>
        <item x="513"/>
        <item x="60"/>
        <item x="350"/>
        <item x="61"/>
        <item x="678"/>
        <item x="549"/>
        <item x="482"/>
        <item x="134"/>
        <item x="246"/>
        <item x="425"/>
        <item x="177"/>
        <item x="724"/>
        <item x="882"/>
        <item x="42"/>
        <item x="52"/>
        <item x="123"/>
        <item x="579"/>
        <item x="536"/>
        <item x="950"/>
        <item x="281"/>
        <item x="165"/>
        <item x="879"/>
        <item x="565"/>
        <item x="121"/>
        <item x="22"/>
        <item x="610"/>
        <item x="129"/>
        <item x="551"/>
        <item x="146"/>
        <item x="385"/>
        <item x="386"/>
        <item x="341"/>
        <item x="219"/>
        <item x="588"/>
        <item x="355"/>
        <item x="960"/>
        <item x="985"/>
        <item x="197"/>
        <item x="530"/>
        <item x="50"/>
        <item x="765"/>
        <item x="110"/>
        <item x="902"/>
        <item x="670"/>
        <item x="538"/>
        <item x="158"/>
        <item x="141"/>
        <item x="142"/>
        <item x="17"/>
        <item x="143"/>
        <item x="580"/>
        <item x="621"/>
        <item x="964"/>
        <item x="992"/>
        <item x="47"/>
        <item x="490"/>
        <item x="564"/>
        <item x="480"/>
        <item x="590"/>
        <item x="968"/>
        <item x="636"/>
        <item x="638"/>
        <item x="637"/>
        <item x="531"/>
        <item x="910"/>
        <item x="770"/>
        <item x="676"/>
        <item x="789"/>
        <item x="612"/>
        <item x="112"/>
        <item x="283"/>
        <item x="284"/>
        <item x="41"/>
        <item x="70"/>
        <item x="947"/>
        <item x="540"/>
        <item x="1004"/>
        <item x="13"/>
        <item x="794"/>
        <item x="684"/>
        <item x="294"/>
        <item x="449"/>
        <item x="450"/>
        <item x="291"/>
        <item x="331"/>
        <item x="508"/>
        <item x="572"/>
        <item x="202"/>
        <item x="26"/>
        <item x="862"/>
        <item x="864"/>
        <item x="747"/>
        <item x="364"/>
        <item x="433"/>
        <item x="106"/>
        <item x="940"/>
        <item x="900"/>
        <item x="602"/>
        <item x="34"/>
        <item x="982"/>
        <item x="570"/>
        <item x="491"/>
        <item x="906"/>
        <item x="767"/>
        <item x="46"/>
        <item x="189"/>
        <item x="953"/>
        <item x="568"/>
        <item x="506"/>
        <item x="462"/>
        <item x="801"/>
        <item x="1007"/>
        <item x="55"/>
        <item x="150"/>
        <item x="172"/>
        <item x="938"/>
        <item x="363"/>
        <item x="525"/>
        <item x="100"/>
        <item x="793"/>
        <item x="235"/>
        <item x="997"/>
        <item x="514"/>
        <item x="366"/>
        <item x="384"/>
        <item x="80"/>
        <item x="515"/>
        <item x="380"/>
        <item x="340"/>
        <item x="634"/>
        <item x="635"/>
        <item x="463"/>
        <item x="407"/>
        <item x="405"/>
        <item x="742"/>
        <item x="792"/>
        <item x="720"/>
        <item x="709"/>
        <item x="646"/>
        <item x="848"/>
        <item x="733"/>
        <item x="726"/>
        <item x="250"/>
        <item x="314"/>
        <item x="297"/>
        <item x="298"/>
        <item x="308"/>
        <item x="69"/>
        <item x="409"/>
        <item x="854"/>
        <item x="475"/>
        <item x="599"/>
        <item x="521"/>
        <item x="873"/>
        <item x="81"/>
        <item x="901"/>
        <item x="181"/>
        <item x="1013"/>
        <item x="268"/>
        <item x="105"/>
        <item x="785"/>
        <item x="855"/>
        <item x="884"/>
        <item x="351"/>
        <item x="196"/>
        <item x="754"/>
        <item x="775"/>
        <item x="753"/>
        <item x="755"/>
        <item x="752"/>
        <item x="708"/>
        <item x="432"/>
        <item x="290"/>
        <item x="965"/>
        <item x="648"/>
        <item x="628"/>
        <item x="996"/>
        <item x="541"/>
        <item x="675"/>
        <item x="852"/>
        <item x="51"/>
        <item x="600"/>
        <item x="492"/>
        <item x="334"/>
        <item x="369"/>
        <item x="418"/>
        <item x="131"/>
        <item x="616"/>
        <item x="211"/>
        <item x="949"/>
        <item x="665"/>
        <item x="802"/>
        <item x="819"/>
        <item x="111"/>
        <item x="869"/>
        <item x="468"/>
        <item x="166"/>
        <item x="376"/>
        <item x="537"/>
        <item x="578"/>
        <item x="152"/>
        <item x="373"/>
        <item x="813"/>
        <item x="814"/>
        <item x="904"/>
        <item x="500"/>
        <item x="248"/>
        <item x="528"/>
        <item x="192"/>
        <item x="592"/>
        <item x="329"/>
        <item x="338"/>
        <item x="318"/>
        <item x="337"/>
        <item x="461"/>
        <item x="319"/>
        <item x="503"/>
        <item x="328"/>
        <item x="324"/>
        <item x="456"/>
        <item x="295"/>
        <item x="353"/>
        <item x="735"/>
        <item x="731"/>
        <item x="642"/>
        <item x="962"/>
        <item x="711"/>
        <item x="723"/>
        <item x="688"/>
        <item x="687"/>
        <item x="689"/>
        <item x="420"/>
        <item x="436"/>
        <item x="434"/>
        <item x="441"/>
        <item x="439"/>
        <item x="438"/>
        <item x="444"/>
        <item x="489"/>
        <item x="443"/>
        <item x="440"/>
        <item x="487"/>
        <item x="668"/>
        <item x="442"/>
        <item x="561"/>
        <item x="455"/>
        <item x="939"/>
        <item x="19"/>
        <item x="693"/>
        <item x="930"/>
        <item x="604"/>
        <item x="481"/>
        <item x="989"/>
        <item x="179"/>
        <item x="92"/>
        <item x="65"/>
        <item x="942"/>
        <item x="666"/>
        <item x="557"/>
        <item x="98"/>
        <item x="97"/>
        <item x="96"/>
        <item x="606"/>
        <item x="707"/>
        <item x="680"/>
        <item x="216"/>
        <item x="244"/>
        <item x="138"/>
        <item x="428"/>
        <item x="315"/>
        <item x="304"/>
        <item x="306"/>
        <item x="311"/>
        <item x="758"/>
        <item x="626"/>
        <item x="625"/>
        <item x="460"/>
        <item x="180"/>
        <item x="21"/>
        <item x="575"/>
        <item x="913"/>
        <item x="828"/>
        <item x="497"/>
        <item x="466"/>
        <item x="773"/>
        <item x="478"/>
        <item x="611"/>
        <item x="897"/>
        <item x="825"/>
        <item x="780"/>
        <item x="892"/>
        <item x="891"/>
        <item x="776"/>
        <item x="894"/>
        <item x="777"/>
        <item x="893"/>
        <item x="826"/>
        <item x="895"/>
        <item x="889"/>
        <item x="890"/>
        <item x="896"/>
        <item x="756"/>
        <item x="759"/>
        <item x="354"/>
        <item x="103"/>
        <item x="1"/>
        <item x="6"/>
        <item x="1000"/>
        <item x="749"/>
        <item x="473"/>
        <item x="501"/>
        <item x="587"/>
        <item x="360"/>
        <item x="10"/>
        <item x="326"/>
        <item x="783"/>
        <item x="725"/>
        <item x="760"/>
        <item x="448"/>
        <item x="661"/>
        <item x="303"/>
        <item x="128"/>
        <item x="190"/>
        <item x="44"/>
        <item x="971"/>
        <item x="237"/>
        <item x="118"/>
        <item x="124"/>
        <item x="573"/>
        <item x="838"/>
        <item x="544"/>
        <item x="85"/>
        <item x="597"/>
        <item x="774"/>
        <item x="362"/>
        <item x="499"/>
        <item x="426"/>
        <item x="394"/>
        <item x="924"/>
        <item x="799"/>
        <item x="289"/>
        <item x="495"/>
        <item x="78"/>
        <item x="194"/>
        <item x="715"/>
        <item x="740"/>
        <item x="622"/>
        <item x="980"/>
        <item x="401"/>
        <item x="507"/>
        <item x="374"/>
        <item x="333"/>
        <item x="542"/>
        <item x="751"/>
        <item x="20"/>
        <item x="115"/>
        <item x="946"/>
        <item x="591"/>
        <item x="1006"/>
        <item x="539"/>
        <item x="451"/>
        <item x="107"/>
        <item x="921"/>
        <item x="359"/>
        <item x="748"/>
        <item x="416"/>
        <item x="804"/>
        <item x="54"/>
        <item x="410"/>
        <item x="330"/>
        <item x="343"/>
        <item x="209"/>
        <item x="522"/>
        <item x="554"/>
        <item x="692"/>
        <item x="445"/>
        <item x="18"/>
        <item x="313"/>
        <item x="867"/>
        <item x="627"/>
        <item x="220"/>
        <item x="931"/>
        <item x="986"/>
        <item x="991"/>
        <item x="39"/>
        <item x="282"/>
        <item x="502"/>
        <item x="918"/>
        <item x="806"/>
        <item x="818"/>
        <item x="857"/>
        <item x="1015"/>
        <item x="163"/>
        <item x="1009"/>
        <item x="696"/>
        <item x="795"/>
        <item x="934"/>
        <item x="662"/>
        <item x="669"/>
        <item x="667"/>
        <item x="881"/>
        <item x="645"/>
        <item x="9"/>
        <item x="679"/>
        <item x="863"/>
        <item x="815"/>
        <item x="574"/>
        <item x="899"/>
        <item x="379"/>
        <item x="532"/>
        <item x="858"/>
        <item x="383"/>
        <item x="671"/>
        <item x="252"/>
        <item x="571"/>
        <item x="553"/>
        <item x="120"/>
        <item x="215"/>
        <item x="221"/>
        <item x="217"/>
        <item x="1001"/>
        <item x="762"/>
        <item x="761"/>
        <item x="782"/>
        <item x="28"/>
        <item x="746"/>
        <item x="681"/>
        <item x="168"/>
        <item x="247"/>
        <item x="614"/>
        <item x="998"/>
        <item x="234"/>
        <item x="546"/>
        <item x="545"/>
        <item x="232"/>
        <item x="229"/>
        <item x="249"/>
        <item x="585"/>
        <item x="84"/>
        <item x="245"/>
        <item x="999"/>
        <item x="361"/>
        <item x="496"/>
        <item x="261"/>
        <item x="820"/>
        <item x="527"/>
        <item x="653"/>
        <item x="654"/>
        <item x="655"/>
        <item x="263"/>
        <item x="271"/>
        <item x="241"/>
        <item x="543"/>
        <item x="264"/>
        <item x="267"/>
        <item x="272"/>
        <item x="323"/>
        <item x="509"/>
        <item x="342"/>
        <item x="117"/>
        <item x="255"/>
        <item x="1014"/>
        <item x="269"/>
        <item x="664"/>
        <item x="732"/>
        <item x="673"/>
        <item x="59"/>
        <item x="83"/>
        <item x="8"/>
        <item x="279"/>
        <item x="534"/>
        <item x="38"/>
        <item x="154"/>
        <item x="108"/>
        <item x="317"/>
        <item x="104"/>
        <item x="327"/>
        <item x="419"/>
        <item x="381"/>
        <item x="335"/>
        <item x="321"/>
        <item x="212"/>
        <item x="424"/>
        <item x="400"/>
        <item x="523"/>
        <item x="258"/>
        <item x="358"/>
        <item x="837"/>
        <item x="803"/>
        <item x="877"/>
        <item x="833"/>
        <item x="1012"/>
        <item x="935"/>
        <item x="936"/>
        <item x="911"/>
        <item x="812"/>
        <item x="214"/>
        <item x="933"/>
        <item x="393"/>
        <item x="697"/>
        <item x="698"/>
        <item x="452"/>
        <item x="286"/>
        <item x="719"/>
        <item x="206"/>
        <item x="695"/>
        <item x="958"/>
        <item x="768"/>
        <item x="559"/>
        <item x="520"/>
        <item x="677"/>
        <item x="511"/>
        <item x="741"/>
        <item x="422"/>
        <item x="1003"/>
        <item x="868"/>
        <item x="153"/>
        <item x="841"/>
        <item x="808"/>
        <item x="807"/>
        <item x="809"/>
        <item x="810"/>
        <item x="414"/>
        <item x="914"/>
        <item x="915"/>
        <item x="757"/>
        <item x="99"/>
        <item x="156"/>
        <item x="984"/>
        <item x="5"/>
        <item x="130"/>
        <item x="162"/>
        <item x="299"/>
        <item x="370"/>
        <item x="113"/>
        <item x="494"/>
        <item x="959"/>
        <item x="187"/>
        <item x="276"/>
        <item x="277"/>
        <item x="957"/>
        <item x="717"/>
        <item x="223"/>
        <item x="703"/>
        <item x="713"/>
        <item x="320"/>
        <item x="357"/>
        <item x="200"/>
        <item x="387"/>
        <item x="657"/>
        <item x="659"/>
        <item x="658"/>
        <item x="624"/>
        <item x="623"/>
        <item x="649"/>
        <item x="155"/>
        <item x="403"/>
        <item x="721"/>
        <item x="307"/>
        <item x="730"/>
        <item x="727"/>
        <item x="849"/>
        <item x="851"/>
        <item x="397"/>
        <item x="356"/>
        <item x="870"/>
        <item x="516"/>
        <item x="920"/>
        <item x="94"/>
        <item x="603"/>
        <item x="40"/>
        <item x="325"/>
        <item x="43"/>
        <item x="53"/>
        <item x="453"/>
        <item x="598"/>
        <item x="629"/>
        <item x="467"/>
        <item x="114"/>
        <item x="479"/>
        <item x="71"/>
        <item x="125"/>
        <item x="948"/>
        <item x="345"/>
        <item x="347"/>
        <item x="417"/>
        <item x="967"/>
        <item x="254"/>
        <item x="170"/>
        <item x="412"/>
        <item x="686"/>
        <item x="203"/>
        <item x="57"/>
        <item x="861"/>
        <item x="866"/>
        <item x="865"/>
        <item x="694"/>
        <item x="133"/>
        <item x="0"/>
        <item x="367"/>
        <item x="651"/>
        <item x="640"/>
        <item x="641"/>
        <item x="912"/>
        <item x="144"/>
        <item x="372"/>
        <item x="167"/>
        <item x="476"/>
        <item x="518"/>
        <item x="601"/>
        <item x="883"/>
        <item x="932"/>
        <item x="332"/>
        <item x="524"/>
        <item x="222"/>
        <item x="95"/>
        <item x="310"/>
        <item x="309"/>
        <item x="300"/>
        <item x="423"/>
        <item x="14"/>
        <item x="109"/>
        <item x="27"/>
        <item x="25"/>
        <item x="576"/>
        <item x="228"/>
        <item x="62"/>
        <item x="89"/>
        <item x="63"/>
        <item x="90"/>
        <item x="91"/>
        <item x="88"/>
        <item x="663"/>
        <item x="256"/>
        <item x="470"/>
        <item x="471"/>
        <item x="790"/>
        <item x="421"/>
        <item x="236"/>
        <item x="242"/>
        <item x="781"/>
        <item x="647"/>
        <item x="704"/>
        <item x="836"/>
        <item x="835"/>
        <item x="392"/>
        <item x="691"/>
        <item x="699"/>
        <item x="832"/>
        <item x="923"/>
        <item x="791"/>
        <item x="182"/>
        <item x="186"/>
        <item x="928"/>
        <item x="744"/>
        <item x="122"/>
        <item x="49"/>
        <item x="488"/>
        <item x="563"/>
        <item x="274"/>
        <item x="275"/>
        <item x="778"/>
        <item x="552"/>
        <item x="23"/>
        <item x="176"/>
        <item x="617"/>
        <item x="257"/>
        <item x="161"/>
        <item x="406"/>
        <item x="845"/>
        <item x="519"/>
        <item x="822"/>
        <item x="517"/>
        <item x="844"/>
        <item x="437"/>
        <item x="16"/>
        <item x="435"/>
        <item x="763"/>
        <item x="205"/>
        <item x="734"/>
        <item x="750"/>
        <item x="371"/>
        <item x="37"/>
        <item x="265"/>
        <item x="266"/>
        <item x="459"/>
        <item x="73"/>
        <item x="270"/>
        <item x="558"/>
        <item x="639"/>
        <item x="613"/>
        <item x="620"/>
        <item x="823"/>
        <item x="766"/>
        <item x="926"/>
        <item x="1005"/>
        <item x="608"/>
        <item x="510"/>
        <item x="102"/>
        <item x="93"/>
        <item x="382"/>
        <item x="132"/>
        <item x="3"/>
        <item x="556"/>
        <item x="566"/>
        <item x="548"/>
        <item x="174"/>
        <item x="701"/>
        <item x="702"/>
        <item x="593"/>
        <item x="198"/>
        <item x="529"/>
        <item x="193"/>
        <item x="210"/>
        <item x="458"/>
        <item x="464"/>
        <item x="201"/>
        <item x="207"/>
        <item x="941"/>
        <item t="default"/>
      </items>
    </pivotField>
    <pivotField showAll="0"/>
    <pivotField showAll="0"/>
    <pivotField showAll="0"/>
    <pivotField showAll="0"/>
    <pivotField showAll="0"/>
    <pivotField dataField="1" numFmtId="164" showAll="0"/>
  </pivotFields>
  <rowFields count="1">
    <field x="2"/>
  </rowFields>
  <rowItems count="16">
    <i>
      <x v="49"/>
    </i>
    <i>
      <x v="71"/>
    </i>
    <i>
      <x v="229"/>
    </i>
    <i>
      <x v="251"/>
    </i>
    <i>
      <x v="376"/>
    </i>
    <i>
      <x v="402"/>
    </i>
    <i>
      <x v="460"/>
    </i>
    <i>
      <x v="505"/>
    </i>
    <i>
      <x v="619"/>
    </i>
    <i>
      <x v="634"/>
    </i>
    <i>
      <x v="640"/>
    </i>
    <i>
      <x v="733"/>
    </i>
    <i>
      <x v="779"/>
    </i>
    <i>
      <x v="887"/>
    </i>
    <i>
      <x v="1009"/>
    </i>
    <i t="grand">
      <x/>
    </i>
  </rowItems>
  <colItems count="1">
    <i/>
  </colItems>
  <dataFields count="1">
    <dataField name="Average of Margin Contribution " fld="8" subtotal="average" baseField="2" baseItem="0" numFmtId="9"/>
  </dataFields>
  <formats count="4">
    <format dxfId="22">
      <pivotArea dataOnly="0" labelOnly="1" fieldPosition="0">
        <references count="1">
          <reference field="2" count="0"/>
        </references>
      </pivotArea>
    </format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6BE15-8E5A-4EFB-84C8-735C2EA5A2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23" firstHeaderRow="1" firstDataRow="1" firstDataCol="1"/>
  <pivotFields count="9">
    <pivotField showAll="0"/>
    <pivotField showAll="0"/>
    <pivotField axis="axisRow" showAll="0" measureFilter="1">
      <items count="1017">
        <item x="292"/>
        <item x="253"/>
        <item x="800"/>
        <item x="811"/>
        <item x="817"/>
        <item x="937"/>
        <item x="375"/>
        <item x="660"/>
        <item x="365"/>
        <item x="447"/>
        <item x="446"/>
        <item x="952"/>
        <item x="48"/>
        <item x="976"/>
        <item x="240"/>
        <item x="843"/>
        <item x="769"/>
        <item x="224"/>
        <item x="609"/>
        <item x="7"/>
        <item x="589"/>
        <item x="567"/>
        <item x="710"/>
        <item x="745"/>
        <item x="199"/>
        <item x="779"/>
        <item x="74"/>
        <item x="909"/>
        <item x="262"/>
        <item x="29"/>
        <item x="430"/>
        <item x="349"/>
        <item x="169"/>
        <item x="388"/>
        <item x="485"/>
        <item x="296"/>
        <item x="887"/>
        <item x="618"/>
        <item x="188"/>
        <item x="871"/>
        <item x="213"/>
        <item x="722"/>
        <item x="86"/>
        <item x="903"/>
        <item x="1002"/>
        <item x="233"/>
        <item x="656"/>
        <item x="273"/>
        <item x="824"/>
        <item x="685"/>
        <item x="278"/>
        <item x="583"/>
        <item x="126"/>
        <item x="672"/>
        <item x="860"/>
        <item x="705"/>
        <item x="652"/>
        <item x="457"/>
        <item x="847"/>
        <item x="956"/>
        <item x="301"/>
        <item x="312"/>
        <item x="302"/>
        <item x="907"/>
        <item x="346"/>
        <item x="943"/>
        <item x="944"/>
        <item x="408"/>
        <item x="151"/>
        <item x="68"/>
        <item x="45"/>
        <item x="195"/>
        <item x="12"/>
        <item x="983"/>
        <item x="880"/>
        <item x="784"/>
        <item x="850"/>
        <item x="615"/>
        <item x="243"/>
        <item x="230"/>
        <item x="231"/>
        <item x="917"/>
        <item x="395"/>
        <item x="404"/>
        <item x="486"/>
        <item x="886"/>
        <item x="431"/>
        <item x="972"/>
        <item x="969"/>
        <item x="973"/>
        <item x="974"/>
        <item x="562"/>
        <item x="970"/>
        <item x="581"/>
        <item x="344"/>
        <item x="987"/>
        <item x="396"/>
        <item x="988"/>
        <item x="955"/>
        <item x="30"/>
        <item x="547"/>
        <item x="584"/>
        <item x="136"/>
        <item x="15"/>
        <item x="251"/>
        <item x="66"/>
        <item x="67"/>
        <item x="411"/>
        <item x="469"/>
        <item x="908"/>
        <item x="454"/>
        <item x="560"/>
        <item x="336"/>
        <item x="682"/>
        <item x="605"/>
        <item x="550"/>
        <item x="227"/>
        <item x="171"/>
        <item x="951"/>
        <item x="135"/>
        <item x="173"/>
        <item x="493"/>
        <item x="178"/>
        <item x="36"/>
        <item x="483"/>
        <item x="788"/>
        <item x="484"/>
        <item x="644"/>
        <item x="875"/>
        <item x="1011"/>
        <item x="555"/>
        <item x="700"/>
        <item x="966"/>
        <item x="137"/>
        <item x="398"/>
        <item x="975"/>
        <item x="429"/>
        <item x="184"/>
        <item x="856"/>
        <item x="954"/>
        <item x="945"/>
        <item x="961"/>
        <item x="31"/>
        <item x="285"/>
        <item x="993"/>
        <item x="650"/>
        <item x="148"/>
        <item x="35"/>
        <item x="919"/>
        <item x="927"/>
        <item x="594"/>
        <item x="139"/>
        <item x="11"/>
        <item x="1010"/>
        <item x="743"/>
        <item x="82"/>
        <item x="280"/>
        <item x="596"/>
        <item x="504"/>
        <item x="632"/>
        <item x="633"/>
        <item x="164"/>
        <item x="994"/>
        <item x="839"/>
        <item x="874"/>
        <item x="771"/>
        <item x="981"/>
        <item x="101"/>
        <item x="157"/>
        <item x="712"/>
        <item x="821"/>
        <item x="225"/>
        <item x="226"/>
        <item x="415"/>
        <item x="729"/>
        <item x="728"/>
        <item x="979"/>
        <item x="922"/>
        <item x="643"/>
        <item x="498"/>
        <item x="978"/>
        <item x="798"/>
        <item x="390"/>
        <item x="797"/>
        <item x="391"/>
        <item x="876"/>
        <item x="287"/>
        <item x="288"/>
        <item x="582"/>
        <item x="140"/>
        <item x="535"/>
        <item x="512"/>
        <item x="352"/>
        <item x="79"/>
        <item x="772"/>
        <item x="764"/>
        <item x="977"/>
        <item x="718"/>
        <item x="916"/>
        <item x="577"/>
        <item x="859"/>
        <item x="846"/>
        <item x="378"/>
        <item x="159"/>
        <item x="305"/>
        <item x="72"/>
        <item x="4"/>
        <item x="827"/>
        <item x="218"/>
        <item x="586"/>
        <item x="878"/>
        <item x="24"/>
        <item x="56"/>
        <item x="674"/>
        <item x="842"/>
        <item x="147"/>
        <item x="840"/>
        <item x="716"/>
        <item x="714"/>
        <item x="58"/>
        <item x="64"/>
        <item x="77"/>
        <item x="76"/>
        <item x="427"/>
        <item x="185"/>
        <item x="465"/>
        <item x="260"/>
        <item x="796"/>
        <item x="316"/>
        <item x="191"/>
        <item x="208"/>
        <item x="293"/>
        <item x="368"/>
        <item x="239"/>
        <item x="32"/>
        <item x="533"/>
        <item x="929"/>
        <item x="706"/>
        <item x="630"/>
        <item x="631"/>
        <item x="472"/>
        <item x="474"/>
        <item x="607"/>
        <item x="905"/>
        <item x="990"/>
        <item x="75"/>
        <item x="737"/>
        <item x="736"/>
        <item x="816"/>
        <item x="738"/>
        <item x="739"/>
        <item x="683"/>
        <item x="175"/>
        <item x="834"/>
        <item x="127"/>
        <item x="477"/>
        <item x="787"/>
        <item x="145"/>
        <item x="87"/>
        <item x="963"/>
        <item x="690"/>
        <item x="526"/>
        <item x="160"/>
        <item x="2"/>
        <item x="149"/>
        <item x="995"/>
        <item x="119"/>
        <item x="33"/>
        <item x="888"/>
        <item x="413"/>
        <item x="505"/>
        <item x="116"/>
        <item x="402"/>
        <item x="389"/>
        <item x="399"/>
        <item x="619"/>
        <item x="569"/>
        <item x="339"/>
        <item x="872"/>
        <item x="377"/>
        <item x="925"/>
        <item x="830"/>
        <item x="204"/>
        <item x="786"/>
        <item x="1008"/>
        <item x="805"/>
        <item x="238"/>
        <item x="885"/>
        <item x="831"/>
        <item x="259"/>
        <item x="853"/>
        <item x="183"/>
        <item x="348"/>
        <item x="322"/>
        <item x="829"/>
        <item x="595"/>
        <item x="898"/>
        <item x="513"/>
        <item x="60"/>
        <item x="350"/>
        <item x="61"/>
        <item x="678"/>
        <item x="549"/>
        <item x="482"/>
        <item x="134"/>
        <item x="246"/>
        <item x="425"/>
        <item x="177"/>
        <item x="724"/>
        <item x="882"/>
        <item x="42"/>
        <item x="52"/>
        <item x="123"/>
        <item x="579"/>
        <item x="536"/>
        <item x="950"/>
        <item x="281"/>
        <item x="165"/>
        <item x="879"/>
        <item x="565"/>
        <item x="121"/>
        <item x="22"/>
        <item x="610"/>
        <item x="129"/>
        <item x="551"/>
        <item x="146"/>
        <item x="385"/>
        <item x="386"/>
        <item x="341"/>
        <item x="219"/>
        <item x="588"/>
        <item x="355"/>
        <item x="960"/>
        <item x="985"/>
        <item x="197"/>
        <item x="530"/>
        <item x="50"/>
        <item x="765"/>
        <item x="110"/>
        <item x="902"/>
        <item x="670"/>
        <item x="538"/>
        <item x="158"/>
        <item x="141"/>
        <item x="142"/>
        <item x="17"/>
        <item x="143"/>
        <item x="580"/>
        <item x="621"/>
        <item x="964"/>
        <item x="992"/>
        <item x="47"/>
        <item x="490"/>
        <item x="564"/>
        <item x="480"/>
        <item x="590"/>
        <item x="968"/>
        <item x="636"/>
        <item x="638"/>
        <item x="637"/>
        <item x="531"/>
        <item x="910"/>
        <item x="770"/>
        <item x="676"/>
        <item x="789"/>
        <item x="612"/>
        <item x="112"/>
        <item x="283"/>
        <item x="284"/>
        <item x="41"/>
        <item x="70"/>
        <item x="947"/>
        <item x="540"/>
        <item x="1004"/>
        <item x="13"/>
        <item x="794"/>
        <item x="684"/>
        <item x="294"/>
        <item x="449"/>
        <item x="450"/>
        <item x="291"/>
        <item x="331"/>
        <item x="508"/>
        <item x="572"/>
        <item x="202"/>
        <item x="26"/>
        <item x="862"/>
        <item x="864"/>
        <item x="747"/>
        <item x="364"/>
        <item x="433"/>
        <item x="106"/>
        <item x="940"/>
        <item x="900"/>
        <item x="602"/>
        <item x="34"/>
        <item x="982"/>
        <item x="570"/>
        <item x="491"/>
        <item x="906"/>
        <item x="767"/>
        <item x="46"/>
        <item x="189"/>
        <item x="953"/>
        <item x="568"/>
        <item x="506"/>
        <item x="462"/>
        <item x="801"/>
        <item x="1007"/>
        <item x="55"/>
        <item x="150"/>
        <item x="172"/>
        <item x="938"/>
        <item x="363"/>
        <item x="525"/>
        <item x="100"/>
        <item x="793"/>
        <item x="235"/>
        <item x="997"/>
        <item x="514"/>
        <item x="366"/>
        <item x="384"/>
        <item x="80"/>
        <item x="515"/>
        <item x="380"/>
        <item x="340"/>
        <item x="634"/>
        <item x="635"/>
        <item x="463"/>
        <item x="407"/>
        <item x="405"/>
        <item x="742"/>
        <item x="792"/>
        <item x="720"/>
        <item x="709"/>
        <item x="646"/>
        <item x="848"/>
        <item x="733"/>
        <item x="726"/>
        <item x="250"/>
        <item x="314"/>
        <item x="297"/>
        <item x="298"/>
        <item x="308"/>
        <item x="69"/>
        <item x="409"/>
        <item x="854"/>
        <item x="475"/>
        <item x="599"/>
        <item x="521"/>
        <item x="873"/>
        <item x="81"/>
        <item x="901"/>
        <item x="181"/>
        <item x="1013"/>
        <item x="268"/>
        <item x="105"/>
        <item x="785"/>
        <item x="855"/>
        <item x="884"/>
        <item x="351"/>
        <item x="196"/>
        <item x="754"/>
        <item x="775"/>
        <item x="753"/>
        <item x="755"/>
        <item x="752"/>
        <item x="708"/>
        <item x="432"/>
        <item x="290"/>
        <item x="965"/>
        <item x="648"/>
        <item x="628"/>
        <item x="996"/>
        <item x="541"/>
        <item x="675"/>
        <item x="852"/>
        <item x="51"/>
        <item x="600"/>
        <item x="492"/>
        <item x="334"/>
        <item x="369"/>
        <item x="418"/>
        <item x="131"/>
        <item x="616"/>
        <item x="211"/>
        <item x="949"/>
        <item x="665"/>
        <item x="802"/>
        <item x="819"/>
        <item x="111"/>
        <item x="869"/>
        <item x="468"/>
        <item x="166"/>
        <item x="376"/>
        <item x="537"/>
        <item x="578"/>
        <item x="152"/>
        <item x="373"/>
        <item x="813"/>
        <item x="814"/>
        <item x="904"/>
        <item x="500"/>
        <item x="248"/>
        <item x="528"/>
        <item x="192"/>
        <item x="592"/>
        <item x="329"/>
        <item x="338"/>
        <item x="318"/>
        <item x="337"/>
        <item x="461"/>
        <item x="319"/>
        <item x="503"/>
        <item x="328"/>
        <item x="324"/>
        <item x="456"/>
        <item x="295"/>
        <item x="353"/>
        <item x="735"/>
        <item x="731"/>
        <item x="642"/>
        <item x="962"/>
        <item x="711"/>
        <item x="723"/>
        <item x="688"/>
        <item x="687"/>
        <item x="689"/>
        <item x="420"/>
        <item x="436"/>
        <item x="434"/>
        <item x="441"/>
        <item x="439"/>
        <item x="438"/>
        <item x="444"/>
        <item x="489"/>
        <item x="443"/>
        <item x="440"/>
        <item x="487"/>
        <item x="668"/>
        <item x="442"/>
        <item x="561"/>
        <item x="455"/>
        <item x="939"/>
        <item x="19"/>
        <item x="693"/>
        <item x="930"/>
        <item x="604"/>
        <item x="481"/>
        <item x="989"/>
        <item x="179"/>
        <item x="92"/>
        <item x="65"/>
        <item x="942"/>
        <item x="666"/>
        <item x="557"/>
        <item x="98"/>
        <item x="97"/>
        <item x="96"/>
        <item x="606"/>
        <item x="707"/>
        <item x="680"/>
        <item x="216"/>
        <item x="244"/>
        <item x="138"/>
        <item x="428"/>
        <item x="315"/>
        <item x="304"/>
        <item x="306"/>
        <item x="311"/>
        <item x="758"/>
        <item x="626"/>
        <item x="625"/>
        <item x="460"/>
        <item x="180"/>
        <item x="21"/>
        <item x="575"/>
        <item x="913"/>
        <item x="828"/>
        <item x="497"/>
        <item x="466"/>
        <item x="773"/>
        <item x="478"/>
        <item x="611"/>
        <item x="897"/>
        <item x="825"/>
        <item x="780"/>
        <item x="892"/>
        <item x="891"/>
        <item x="776"/>
        <item x="894"/>
        <item x="777"/>
        <item x="893"/>
        <item x="826"/>
        <item x="895"/>
        <item x="889"/>
        <item x="890"/>
        <item x="896"/>
        <item x="756"/>
        <item x="759"/>
        <item x="354"/>
        <item x="103"/>
        <item x="1"/>
        <item x="6"/>
        <item x="1000"/>
        <item x="749"/>
        <item x="473"/>
        <item x="501"/>
        <item x="587"/>
        <item x="360"/>
        <item x="10"/>
        <item x="326"/>
        <item x="783"/>
        <item x="725"/>
        <item x="760"/>
        <item x="448"/>
        <item x="661"/>
        <item x="303"/>
        <item x="128"/>
        <item x="190"/>
        <item x="44"/>
        <item x="971"/>
        <item x="237"/>
        <item x="118"/>
        <item x="124"/>
        <item x="573"/>
        <item x="838"/>
        <item x="544"/>
        <item x="85"/>
        <item x="597"/>
        <item x="774"/>
        <item x="362"/>
        <item x="499"/>
        <item x="426"/>
        <item x="394"/>
        <item x="924"/>
        <item x="799"/>
        <item x="289"/>
        <item x="495"/>
        <item x="78"/>
        <item x="194"/>
        <item x="715"/>
        <item x="740"/>
        <item x="622"/>
        <item x="980"/>
        <item x="401"/>
        <item x="507"/>
        <item x="374"/>
        <item x="333"/>
        <item x="542"/>
        <item x="751"/>
        <item x="20"/>
        <item x="115"/>
        <item x="946"/>
        <item x="591"/>
        <item x="1006"/>
        <item x="539"/>
        <item x="451"/>
        <item x="107"/>
        <item x="921"/>
        <item x="359"/>
        <item x="748"/>
        <item x="416"/>
        <item x="804"/>
        <item x="54"/>
        <item x="410"/>
        <item x="330"/>
        <item x="343"/>
        <item x="209"/>
        <item x="522"/>
        <item x="554"/>
        <item x="692"/>
        <item x="445"/>
        <item x="18"/>
        <item x="313"/>
        <item x="867"/>
        <item x="627"/>
        <item x="220"/>
        <item x="931"/>
        <item x="986"/>
        <item x="991"/>
        <item x="39"/>
        <item x="282"/>
        <item x="502"/>
        <item x="918"/>
        <item x="806"/>
        <item x="818"/>
        <item x="857"/>
        <item x="1015"/>
        <item x="163"/>
        <item x="1009"/>
        <item x="696"/>
        <item x="795"/>
        <item x="934"/>
        <item x="662"/>
        <item x="669"/>
        <item x="667"/>
        <item x="881"/>
        <item x="645"/>
        <item x="9"/>
        <item x="679"/>
        <item x="863"/>
        <item x="815"/>
        <item x="574"/>
        <item x="899"/>
        <item x="379"/>
        <item x="532"/>
        <item x="858"/>
        <item x="383"/>
        <item x="671"/>
        <item x="252"/>
        <item x="571"/>
        <item x="553"/>
        <item x="120"/>
        <item x="215"/>
        <item x="221"/>
        <item x="217"/>
        <item x="1001"/>
        <item x="762"/>
        <item x="761"/>
        <item x="782"/>
        <item x="28"/>
        <item x="746"/>
        <item x="681"/>
        <item x="168"/>
        <item x="247"/>
        <item x="614"/>
        <item x="998"/>
        <item x="234"/>
        <item x="546"/>
        <item x="545"/>
        <item x="232"/>
        <item x="229"/>
        <item x="249"/>
        <item x="585"/>
        <item x="84"/>
        <item x="245"/>
        <item x="999"/>
        <item x="361"/>
        <item x="496"/>
        <item x="261"/>
        <item x="820"/>
        <item x="527"/>
        <item x="653"/>
        <item x="654"/>
        <item x="655"/>
        <item x="263"/>
        <item x="271"/>
        <item x="241"/>
        <item x="543"/>
        <item x="264"/>
        <item x="267"/>
        <item x="272"/>
        <item x="323"/>
        <item x="509"/>
        <item x="342"/>
        <item x="117"/>
        <item x="255"/>
        <item x="1014"/>
        <item x="269"/>
        <item x="664"/>
        <item x="732"/>
        <item x="673"/>
        <item x="59"/>
        <item x="83"/>
        <item x="8"/>
        <item x="279"/>
        <item x="534"/>
        <item x="38"/>
        <item x="154"/>
        <item x="108"/>
        <item x="317"/>
        <item x="104"/>
        <item x="327"/>
        <item x="419"/>
        <item x="381"/>
        <item x="335"/>
        <item x="321"/>
        <item x="212"/>
        <item x="424"/>
        <item x="400"/>
        <item x="523"/>
        <item x="258"/>
        <item x="358"/>
        <item x="837"/>
        <item x="803"/>
        <item x="877"/>
        <item x="833"/>
        <item x="1012"/>
        <item x="935"/>
        <item x="936"/>
        <item x="911"/>
        <item x="812"/>
        <item x="214"/>
        <item x="933"/>
        <item x="393"/>
        <item x="697"/>
        <item x="698"/>
        <item x="452"/>
        <item x="286"/>
        <item x="719"/>
        <item x="206"/>
        <item x="695"/>
        <item x="958"/>
        <item x="768"/>
        <item x="559"/>
        <item x="520"/>
        <item x="677"/>
        <item x="511"/>
        <item x="741"/>
        <item x="422"/>
        <item x="1003"/>
        <item x="868"/>
        <item x="153"/>
        <item x="841"/>
        <item x="808"/>
        <item x="807"/>
        <item x="809"/>
        <item x="810"/>
        <item x="414"/>
        <item x="914"/>
        <item x="915"/>
        <item x="757"/>
        <item x="99"/>
        <item x="156"/>
        <item x="984"/>
        <item x="5"/>
        <item x="130"/>
        <item x="162"/>
        <item x="299"/>
        <item x="370"/>
        <item x="113"/>
        <item x="494"/>
        <item x="959"/>
        <item x="187"/>
        <item x="276"/>
        <item x="277"/>
        <item x="957"/>
        <item x="717"/>
        <item x="223"/>
        <item x="703"/>
        <item x="713"/>
        <item x="320"/>
        <item x="357"/>
        <item x="200"/>
        <item x="387"/>
        <item x="657"/>
        <item x="659"/>
        <item x="658"/>
        <item x="624"/>
        <item x="623"/>
        <item x="649"/>
        <item x="155"/>
        <item x="403"/>
        <item x="721"/>
        <item x="307"/>
        <item x="730"/>
        <item x="727"/>
        <item x="849"/>
        <item x="851"/>
        <item x="397"/>
        <item x="356"/>
        <item x="870"/>
        <item x="516"/>
        <item x="920"/>
        <item x="94"/>
        <item x="603"/>
        <item x="40"/>
        <item x="325"/>
        <item x="43"/>
        <item x="53"/>
        <item x="453"/>
        <item x="598"/>
        <item x="629"/>
        <item x="467"/>
        <item x="114"/>
        <item x="479"/>
        <item x="71"/>
        <item x="125"/>
        <item x="948"/>
        <item x="345"/>
        <item x="347"/>
        <item x="417"/>
        <item x="967"/>
        <item x="254"/>
        <item x="170"/>
        <item x="412"/>
        <item x="686"/>
        <item x="203"/>
        <item x="57"/>
        <item x="861"/>
        <item x="866"/>
        <item x="865"/>
        <item x="694"/>
        <item x="133"/>
        <item x="0"/>
        <item x="367"/>
        <item x="651"/>
        <item x="640"/>
        <item x="641"/>
        <item x="912"/>
        <item x="144"/>
        <item x="372"/>
        <item x="167"/>
        <item x="476"/>
        <item x="518"/>
        <item x="601"/>
        <item x="883"/>
        <item x="932"/>
        <item x="332"/>
        <item x="524"/>
        <item x="222"/>
        <item x="95"/>
        <item x="310"/>
        <item x="309"/>
        <item x="300"/>
        <item x="423"/>
        <item x="14"/>
        <item x="109"/>
        <item x="27"/>
        <item x="25"/>
        <item x="576"/>
        <item x="228"/>
        <item x="62"/>
        <item x="89"/>
        <item x="63"/>
        <item x="90"/>
        <item x="91"/>
        <item x="88"/>
        <item x="663"/>
        <item x="256"/>
        <item x="470"/>
        <item x="471"/>
        <item x="790"/>
        <item x="421"/>
        <item x="236"/>
        <item x="242"/>
        <item x="781"/>
        <item x="647"/>
        <item x="704"/>
        <item x="836"/>
        <item x="835"/>
        <item x="392"/>
        <item x="691"/>
        <item x="699"/>
        <item x="832"/>
        <item x="923"/>
        <item x="791"/>
        <item x="182"/>
        <item x="186"/>
        <item x="928"/>
        <item x="744"/>
        <item x="122"/>
        <item x="49"/>
        <item x="488"/>
        <item x="563"/>
        <item x="274"/>
        <item x="275"/>
        <item x="778"/>
        <item x="552"/>
        <item x="23"/>
        <item x="176"/>
        <item x="617"/>
        <item x="257"/>
        <item x="161"/>
        <item x="406"/>
        <item x="845"/>
        <item x="519"/>
        <item x="822"/>
        <item x="517"/>
        <item x="844"/>
        <item x="437"/>
        <item x="16"/>
        <item x="435"/>
        <item x="763"/>
        <item x="205"/>
        <item x="734"/>
        <item x="750"/>
        <item x="371"/>
        <item x="37"/>
        <item x="265"/>
        <item x="266"/>
        <item x="459"/>
        <item x="73"/>
        <item x="270"/>
        <item x="558"/>
        <item x="639"/>
        <item x="613"/>
        <item x="620"/>
        <item x="823"/>
        <item x="766"/>
        <item x="926"/>
        <item x="1005"/>
        <item x="608"/>
        <item x="510"/>
        <item x="102"/>
        <item x="93"/>
        <item x="382"/>
        <item x="132"/>
        <item x="3"/>
        <item x="556"/>
        <item x="566"/>
        <item x="548"/>
        <item x="174"/>
        <item x="701"/>
        <item x="702"/>
        <item x="593"/>
        <item x="198"/>
        <item x="529"/>
        <item x="193"/>
        <item x="210"/>
        <item x="458"/>
        <item x="464"/>
        <item x="201"/>
        <item x="207"/>
        <item x="941"/>
        <item t="default"/>
      </items>
    </pivotField>
    <pivotField showAll="0"/>
    <pivotField showAll="0"/>
    <pivotField dataField="1" showAll="0"/>
    <pivotField showAll="0"/>
    <pivotField showAll="0"/>
    <pivotField numFmtId="164" showAll="0"/>
  </pivotFields>
  <rowFields count="1">
    <field x="2"/>
  </rowFields>
  <rowItems count="12">
    <i>
      <x v="46"/>
    </i>
    <i>
      <x v="99"/>
    </i>
    <i>
      <x v="142"/>
    </i>
    <i>
      <x v="143"/>
    </i>
    <i>
      <x v="234"/>
    </i>
    <i>
      <x v="267"/>
    </i>
    <i>
      <x v="380"/>
    </i>
    <i>
      <x v="469"/>
    </i>
    <i>
      <x v="743"/>
    </i>
    <i>
      <x v="744"/>
    </i>
    <i>
      <x v="745"/>
    </i>
    <i t="grand">
      <x/>
    </i>
  </rowItems>
  <colItems count="1">
    <i/>
  </colItems>
  <dataFields count="1">
    <dataField name="Max of With Margins" fld="5" subtotal="max" baseField="2" baseItem="0"/>
  </dataFields>
  <formats count="7">
    <format dxfId="29">
      <pivotArea type="all" dataOnly="0" outline="0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11">
            <x v="46"/>
            <x v="99"/>
            <x v="142"/>
            <x v="143"/>
            <x v="234"/>
            <x v="267"/>
            <x v="380"/>
            <x v="469"/>
            <x v="743"/>
            <x v="744"/>
            <x v="745"/>
          </reference>
        </references>
      </pivotArea>
    </format>
    <format dxfId="26">
      <pivotArea dataOnly="0" labelOnly="1" grandRow="1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collapsedLevelsAreSubtotals="1" fieldPosition="0">
        <references count="1">
          <reference field="2" count="11">
            <x v="46"/>
            <x v="99"/>
            <x v="142"/>
            <x v="143"/>
            <x v="234"/>
            <x v="267"/>
            <x v="380"/>
            <x v="469"/>
            <x v="743"/>
            <x v="744"/>
            <x v="74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DB053-D811-43E8-9D71-9E3621840BC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16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mission Category " fld="7" subtotal="count" baseField="0" baseItem="0"/>
  </dataFields>
  <formats count="6">
    <format dxfId="35">
      <pivotArea type="all" dataOnly="0" outline="0" fieldPosition="0"/>
    </format>
    <format dxfId="34">
      <pivotArea field="7" type="button" dataOnly="0" labelOnly="1" outline="0" axis="axisRow" fieldPosition="0"/>
    </format>
    <format dxfId="33">
      <pivotArea dataOnly="0" labelOnly="1" fieldPosition="0">
        <references count="1">
          <reference field="7" count="0"/>
        </references>
      </pivotArea>
    </format>
    <format dxfId="32">
      <pivotArea dataOnly="0" labelOnly="1" grandRow="1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11E5E8-756F-4FD6-95D4-C29296511617}" autoFormatId="16" applyNumberFormats="0" applyBorderFormats="0" applyFontFormats="0" applyPatternFormats="0" applyAlignmentFormats="0" applyWidthHeightFormats="0">
  <queryTableRefresh nextId="13" unboundColumnsRight="3">
    <queryTableFields count="8">
      <queryTableField id="1" name="2017 NAICS Code" tableColumnId="1"/>
      <queryTableField id="3" name="2017 NAICS Title" tableColumnId="3"/>
      <queryTableField id="7" name="SCEF without Margins" tableColumnId="7"/>
      <queryTableField id="8" name="Margins of SCEF" tableColumnId="8"/>
      <queryTableField id="9" name="SCEF With Margins" tableColumnId="9"/>
      <queryTableField id="10" dataBound="0" tableColumnId="10"/>
      <queryTableField id="11" dataBound="0" tableColumnId="11"/>
      <queryTableField id="12" dataBound="0" tableColumnId="12"/>
    </queryTableFields>
    <queryTableDeletedFields count="1">
      <deletedField name="Reference USEEIO Cod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05C51-E73D-4105-A7ED-A402AF3DCE88}" name="SCE_Dataset" displayName="SCE_Dataset" ref="A1:H1017" totalsRowShown="0" headerRowDxfId="44" dataDxfId="43">
  <autoFilter ref="A1:H1017" xr:uid="{7AF05C51-E73D-4105-A7ED-A402AF3DCE88}"/>
  <tableColumns count="8">
    <tableColumn id="1" xr3:uid="{41A1FFD4-5E79-4E91-A545-63A801867589}" name="2017 NAICS Code" dataDxfId="42"/>
    <tableColumn id="8" xr3:uid="{9345523D-C736-4A98-9F20-1914AE1B73E4}" name="Reference USEEIO Code" dataDxfId="13"/>
    <tableColumn id="2" xr3:uid="{2BBF6DAD-030C-4774-80C1-82356E63FA79}" name="Industry" dataDxfId="41"/>
    <tableColumn id="3" xr3:uid="{EA072C98-2CD5-40D9-952A-06194D6DEE41}" name="GHG" dataDxfId="40"/>
    <tableColumn id="4" xr3:uid="{E0AD2321-BDCF-41C8-8369-54C4005225B1}" name="Unit" dataDxfId="39"/>
    <tableColumn id="5" xr3:uid="{7E634A4B-09BF-49BC-9D12-BDE4885BCEBA}" name=" without Margins" dataDxfId="38"/>
    <tableColumn id="6" xr3:uid="{2FA22F40-970D-4441-BFA1-DF551485B2D8}" name="Margins " dataDxfId="37"/>
    <tableColumn id="7" xr3:uid="{F016E468-DA73-4F65-9F0F-5E0C38BDBF48}" name=" with Margins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0CA08-5100-4499-85A5-33D09797D709}" name="SCE_Ds" displayName="SCE_Ds" ref="A1:H1017" tableType="queryTable" totalsRowShown="0" headerRowDxfId="46">
  <autoFilter ref="A1:H1017" xr:uid="{C0E0CA08-5100-4499-85A5-33D09797D709}"/>
  <sortState xmlns:xlrd2="http://schemas.microsoft.com/office/spreadsheetml/2017/richdata2" ref="A2:H1017">
    <sortCondition ref="B1:B1017"/>
  </sortState>
  <tableColumns count="8">
    <tableColumn id="1" xr3:uid="{AA039AEF-3058-4685-9FD6-0DB4AF80FFFA}" uniqueName="1" name="2017 NAICS Code" queryTableFieldId="1"/>
    <tableColumn id="3" xr3:uid="{D18AAF9F-75FB-4B67-9F8A-025840794758}" uniqueName="3" name="Industry" queryTableFieldId="3" dataDxfId="5"/>
    <tableColumn id="7" xr3:uid="{08C8BD85-3552-451E-83C4-C11C9D4EE49D}" uniqueName="7" name=" without Margins ( $)" queryTableFieldId="7" dataDxfId="4"/>
    <tableColumn id="8" xr3:uid="{0BDC10D1-E057-4F4A-870F-62BA2670DC37}" uniqueName="8" name="Margins ($)" queryTableFieldId="8" dataDxfId="3"/>
    <tableColumn id="9" xr3:uid="{B151A29B-B880-409A-B817-9A301DC6914C}" uniqueName="9" name="With Margins ($)" queryTableFieldId="9" dataDxfId="2"/>
    <tableColumn id="10" xr3:uid="{CF50A096-C353-48FA-9936-869F35B9A3B4}" uniqueName="10" name="Emission Difference ($)" queryTableFieldId="10" dataDxfId="0">
      <calculatedColumnFormula array="1">(SCE_Dataset[ [ with Margins] ]-SCE_Dataset[ [ without Margins] ])</calculatedColumnFormula>
    </tableColumn>
    <tableColumn id="11" xr3:uid="{40974CFA-C590-49A1-80C8-D012B015AB41}" uniqueName="11" name="Emission Category " queryTableFieldId="11" dataDxfId="1">
      <calculatedColumnFormula>IF(E1&lt;0.5,"Low", "High")</calculatedColumnFormula>
    </tableColumn>
    <tableColumn id="12" xr3:uid="{A65F254C-E963-457A-9C71-65C24DAC11FE}" uniqueName="12" name="Margin Contribution " queryTableFieldId="12" dataDxfId="45" dataCellStyle="Percent">
      <calculatedColumnFormula>SCE_Ds[[#This Row],[Margins ($)]]/SCE_Ds[[#This Row],[With Margins ($)]]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F38E-BF61-4F54-BA5B-293315C52703}">
  <dimension ref="A1:J1017"/>
  <sheetViews>
    <sheetView tabSelected="1" workbookViewId="0">
      <selection activeCell="B741" sqref="B1:B1048576"/>
    </sheetView>
  </sheetViews>
  <sheetFormatPr defaultRowHeight="14.4" x14ac:dyDescent="0.3"/>
  <cols>
    <col min="1" max="1" width="13.21875" style="5" customWidth="1"/>
    <col min="2" max="2" width="22.77734375" style="5" customWidth="1"/>
    <col min="3" max="3" width="36.44140625" style="6" customWidth="1"/>
    <col min="4" max="4" width="12.21875" style="4" customWidth="1"/>
    <col min="5" max="5" width="17.21875" style="1" customWidth="1"/>
    <col min="6" max="6" width="24.33203125" style="7" customWidth="1"/>
    <col min="7" max="7" width="19.21875" style="7" customWidth="1"/>
    <col min="8" max="8" width="22.77734375" style="7" customWidth="1"/>
  </cols>
  <sheetData>
    <row r="1" spans="1:10" s="3" customFormat="1" ht="45.6" customHeight="1" x14ac:dyDescent="0.3">
      <c r="A1" s="3" t="s">
        <v>0</v>
      </c>
      <c r="B1" s="3" t="s">
        <v>3</v>
      </c>
      <c r="C1" s="3" t="s">
        <v>1106</v>
      </c>
      <c r="D1" s="3" t="s">
        <v>1</v>
      </c>
      <c r="E1" s="3" t="s">
        <v>2</v>
      </c>
      <c r="F1" s="3" t="s">
        <v>1082</v>
      </c>
      <c r="G1" s="3" t="s">
        <v>1083</v>
      </c>
      <c r="H1" s="3" t="s">
        <v>1084</v>
      </c>
    </row>
    <row r="2" spans="1:10" ht="28.8" x14ac:dyDescent="0.3">
      <c r="A2" s="5">
        <v>111110</v>
      </c>
      <c r="B2" s="5" t="s">
        <v>7</v>
      </c>
      <c r="C2" s="6" t="s">
        <v>4</v>
      </c>
      <c r="D2" s="4" t="s">
        <v>5</v>
      </c>
      <c r="E2" s="1" t="s">
        <v>6</v>
      </c>
      <c r="F2" s="7">
        <v>0.48799999999999999</v>
      </c>
      <c r="G2" s="7">
        <v>4.3999999999999997E-2</v>
      </c>
      <c r="H2" s="7">
        <v>0.53200000000000003</v>
      </c>
    </row>
    <row r="3" spans="1:10" ht="28.8" x14ac:dyDescent="0.3">
      <c r="A3" s="5">
        <v>111120</v>
      </c>
      <c r="B3" s="5" t="s">
        <v>7</v>
      </c>
      <c r="C3" s="6" t="s">
        <v>8</v>
      </c>
      <c r="D3" s="4" t="s">
        <v>5</v>
      </c>
      <c r="E3" s="1" t="s">
        <v>6</v>
      </c>
      <c r="F3" s="7">
        <v>0.48799999999999999</v>
      </c>
      <c r="G3" s="7">
        <v>4.3999999999999997E-2</v>
      </c>
      <c r="H3" s="7">
        <v>0.53200000000000003</v>
      </c>
    </row>
    <row r="4" spans="1:10" ht="28.8" x14ac:dyDescent="0.3">
      <c r="A4" s="5">
        <v>111130</v>
      </c>
      <c r="B4" s="5" t="s">
        <v>10</v>
      </c>
      <c r="C4" s="6" t="s">
        <v>9</v>
      </c>
      <c r="D4" s="4" t="s">
        <v>5</v>
      </c>
      <c r="E4" s="1" t="s">
        <v>6</v>
      </c>
      <c r="F4" s="7">
        <v>0.80900000000000005</v>
      </c>
      <c r="G4" s="7">
        <v>0.04</v>
      </c>
      <c r="H4" s="7">
        <v>0.84799999999999998</v>
      </c>
    </row>
    <row r="5" spans="1:10" ht="28.8" x14ac:dyDescent="0.3">
      <c r="A5" s="5">
        <v>111140</v>
      </c>
      <c r="B5" s="5" t="s">
        <v>10</v>
      </c>
      <c r="C5" s="6" t="s">
        <v>11</v>
      </c>
      <c r="D5" s="4" t="s">
        <v>5</v>
      </c>
      <c r="E5" s="1" t="s">
        <v>6</v>
      </c>
      <c r="F5" s="7">
        <v>0.80900000000000005</v>
      </c>
      <c r="G5" s="7">
        <v>0.04</v>
      </c>
      <c r="H5" s="7">
        <v>0.84799999999999998</v>
      </c>
    </row>
    <row r="6" spans="1:10" ht="28.8" x14ac:dyDescent="0.3">
      <c r="A6" s="5">
        <v>111150</v>
      </c>
      <c r="B6" s="5" t="s">
        <v>10</v>
      </c>
      <c r="C6" s="6" t="s">
        <v>12</v>
      </c>
      <c r="D6" s="4" t="s">
        <v>5</v>
      </c>
      <c r="E6" s="1" t="s">
        <v>6</v>
      </c>
      <c r="F6" s="7">
        <v>0.80900000000000005</v>
      </c>
      <c r="G6" s="7">
        <v>0.04</v>
      </c>
      <c r="H6" s="7">
        <v>0.84799999999999998</v>
      </c>
    </row>
    <row r="7" spans="1:10" ht="28.8" x14ac:dyDescent="0.3">
      <c r="A7" s="5">
        <v>111160</v>
      </c>
      <c r="B7" s="5" t="s">
        <v>10</v>
      </c>
      <c r="C7" s="6" t="s">
        <v>13</v>
      </c>
      <c r="D7" s="4" t="s">
        <v>5</v>
      </c>
      <c r="E7" s="1" t="s">
        <v>6</v>
      </c>
      <c r="F7" s="7">
        <v>0.80900000000000005</v>
      </c>
      <c r="G7" s="7">
        <v>0.04</v>
      </c>
      <c r="H7" s="7">
        <v>0.84799999999999998</v>
      </c>
    </row>
    <row r="8" spans="1:10" ht="28.8" x14ac:dyDescent="0.3">
      <c r="A8" s="5">
        <v>111191</v>
      </c>
      <c r="B8" s="5" t="s">
        <v>10</v>
      </c>
      <c r="C8" s="6" t="s">
        <v>14</v>
      </c>
      <c r="D8" s="4" t="s">
        <v>5</v>
      </c>
      <c r="E8" s="1" t="s">
        <v>6</v>
      </c>
      <c r="F8" s="7">
        <v>0.80900000000000005</v>
      </c>
      <c r="G8" s="7">
        <v>0.04</v>
      </c>
      <c r="H8" s="7">
        <v>0.84799999999999998</v>
      </c>
      <c r="J8" s="2"/>
    </row>
    <row r="9" spans="1:10" ht="28.8" x14ac:dyDescent="0.3">
      <c r="A9" s="5">
        <v>111199</v>
      </c>
      <c r="B9" s="5" t="s">
        <v>10</v>
      </c>
      <c r="C9" s="6" t="s">
        <v>15</v>
      </c>
      <c r="D9" s="4" t="s">
        <v>5</v>
      </c>
      <c r="E9" s="1" t="s">
        <v>6</v>
      </c>
      <c r="F9" s="7">
        <v>0.80900000000000005</v>
      </c>
      <c r="G9" s="7">
        <v>0.04</v>
      </c>
      <c r="H9" s="7">
        <v>0.84799999999999998</v>
      </c>
    </row>
    <row r="10" spans="1:10" ht="28.8" x14ac:dyDescent="0.3">
      <c r="A10" s="5">
        <v>111211</v>
      </c>
      <c r="B10" s="5">
        <v>111200</v>
      </c>
      <c r="C10" s="6" t="s">
        <v>16</v>
      </c>
      <c r="D10" s="4" t="s">
        <v>5</v>
      </c>
      <c r="E10" s="1" t="s">
        <v>6</v>
      </c>
      <c r="F10" s="7">
        <v>0.59099999999999997</v>
      </c>
      <c r="G10" s="7">
        <v>4.1000000000000002E-2</v>
      </c>
      <c r="H10" s="7">
        <v>0.63100000000000001</v>
      </c>
    </row>
    <row r="11" spans="1:10" ht="28.8" x14ac:dyDescent="0.3">
      <c r="A11" s="5">
        <v>111219</v>
      </c>
      <c r="B11" s="5">
        <v>111200</v>
      </c>
      <c r="C11" s="6" t="s">
        <v>17</v>
      </c>
      <c r="D11" s="4" t="s">
        <v>5</v>
      </c>
      <c r="E11" s="1" t="s">
        <v>6</v>
      </c>
      <c r="F11" s="7">
        <v>0.59099999999999997</v>
      </c>
      <c r="G11" s="7">
        <v>4.1000000000000002E-2</v>
      </c>
      <c r="H11" s="7">
        <v>0.63100000000000001</v>
      </c>
    </row>
    <row r="12" spans="1:10" ht="28.8" x14ac:dyDescent="0.3">
      <c r="A12" s="5">
        <v>111310</v>
      </c>
      <c r="B12" s="5">
        <v>111300</v>
      </c>
      <c r="C12" s="6" t="s">
        <v>18</v>
      </c>
      <c r="D12" s="4" t="s">
        <v>5</v>
      </c>
      <c r="E12" s="1" t="s">
        <v>6</v>
      </c>
      <c r="F12" s="7">
        <v>0.42899999999999999</v>
      </c>
      <c r="G12" s="7">
        <v>5.8999999999999997E-2</v>
      </c>
      <c r="H12" s="7">
        <v>0.48799999999999999</v>
      </c>
    </row>
    <row r="13" spans="1:10" ht="28.8" x14ac:dyDescent="0.3">
      <c r="A13" s="5">
        <v>111320</v>
      </c>
      <c r="B13" s="5">
        <v>111300</v>
      </c>
      <c r="C13" s="6" t="s">
        <v>19</v>
      </c>
      <c r="D13" s="4" t="s">
        <v>5</v>
      </c>
      <c r="E13" s="1" t="s">
        <v>6</v>
      </c>
      <c r="F13" s="7">
        <v>0.42899999999999999</v>
      </c>
      <c r="G13" s="7">
        <v>5.8999999999999997E-2</v>
      </c>
      <c r="H13" s="7">
        <v>0.48799999999999999</v>
      </c>
    </row>
    <row r="14" spans="1:10" ht="28.8" x14ac:dyDescent="0.3">
      <c r="A14" s="5">
        <v>111331</v>
      </c>
      <c r="B14" s="5">
        <v>111300</v>
      </c>
      <c r="C14" s="6" t="s">
        <v>20</v>
      </c>
      <c r="D14" s="4" t="s">
        <v>5</v>
      </c>
      <c r="E14" s="1" t="s">
        <v>6</v>
      </c>
      <c r="F14" s="7">
        <v>0.42899999999999999</v>
      </c>
      <c r="G14" s="7">
        <v>5.8999999999999997E-2</v>
      </c>
      <c r="H14" s="7">
        <v>0.48799999999999999</v>
      </c>
    </row>
    <row r="15" spans="1:10" ht="28.8" x14ac:dyDescent="0.3">
      <c r="A15" s="5">
        <v>111332</v>
      </c>
      <c r="B15" s="5">
        <v>111300</v>
      </c>
      <c r="C15" s="6" t="s">
        <v>21</v>
      </c>
      <c r="D15" s="4" t="s">
        <v>5</v>
      </c>
      <c r="E15" s="1" t="s">
        <v>6</v>
      </c>
      <c r="F15" s="7">
        <v>0.42899999999999999</v>
      </c>
      <c r="G15" s="7">
        <v>5.8999999999999997E-2</v>
      </c>
      <c r="H15" s="7">
        <v>0.48799999999999999</v>
      </c>
    </row>
    <row r="16" spans="1:10" ht="28.8" x14ac:dyDescent="0.3">
      <c r="A16" s="5">
        <v>111333</v>
      </c>
      <c r="B16" s="5">
        <v>111300</v>
      </c>
      <c r="C16" s="6" t="s">
        <v>22</v>
      </c>
      <c r="D16" s="4" t="s">
        <v>5</v>
      </c>
      <c r="E16" s="1" t="s">
        <v>6</v>
      </c>
      <c r="F16" s="7">
        <v>0.42899999999999999</v>
      </c>
      <c r="G16" s="7">
        <v>5.8999999999999997E-2</v>
      </c>
      <c r="H16" s="7">
        <v>0.48799999999999999</v>
      </c>
    </row>
    <row r="17" spans="1:8" ht="28.8" x14ac:dyDescent="0.3">
      <c r="A17" s="5">
        <v>111334</v>
      </c>
      <c r="B17" s="5">
        <v>111300</v>
      </c>
      <c r="C17" s="6" t="s">
        <v>23</v>
      </c>
      <c r="D17" s="4" t="s">
        <v>5</v>
      </c>
      <c r="E17" s="1" t="s">
        <v>6</v>
      </c>
      <c r="F17" s="7">
        <v>0.42899999999999999</v>
      </c>
      <c r="G17" s="7">
        <v>5.8999999999999997E-2</v>
      </c>
      <c r="H17" s="7">
        <v>0.48799999999999999</v>
      </c>
    </row>
    <row r="18" spans="1:8" ht="28.8" x14ac:dyDescent="0.3">
      <c r="A18" s="5">
        <v>111335</v>
      </c>
      <c r="B18" s="5">
        <v>111300</v>
      </c>
      <c r="C18" s="6" t="s">
        <v>24</v>
      </c>
      <c r="D18" s="4" t="s">
        <v>5</v>
      </c>
      <c r="E18" s="1" t="s">
        <v>6</v>
      </c>
      <c r="F18" s="7">
        <v>0.42899999999999999</v>
      </c>
      <c r="G18" s="7">
        <v>5.8999999999999997E-2</v>
      </c>
      <c r="H18" s="7">
        <v>0.48799999999999999</v>
      </c>
    </row>
    <row r="19" spans="1:8" ht="28.8" x14ac:dyDescent="0.3">
      <c r="A19" s="5">
        <v>111336</v>
      </c>
      <c r="B19" s="5">
        <v>111300</v>
      </c>
      <c r="C19" s="6" t="s">
        <v>25</v>
      </c>
      <c r="D19" s="4" t="s">
        <v>5</v>
      </c>
      <c r="E19" s="1" t="s">
        <v>6</v>
      </c>
      <c r="F19" s="7">
        <v>0.42899999999999999</v>
      </c>
      <c r="G19" s="7">
        <v>5.8999999999999997E-2</v>
      </c>
      <c r="H19" s="7">
        <v>0.48799999999999999</v>
      </c>
    </row>
    <row r="20" spans="1:8" ht="28.8" x14ac:dyDescent="0.3">
      <c r="A20" s="5">
        <v>111339</v>
      </c>
      <c r="B20" s="5">
        <v>111300</v>
      </c>
      <c r="C20" s="6" t="s">
        <v>26</v>
      </c>
      <c r="D20" s="4" t="s">
        <v>5</v>
      </c>
      <c r="E20" s="1" t="s">
        <v>6</v>
      </c>
      <c r="F20" s="7">
        <v>0.42899999999999999</v>
      </c>
      <c r="G20" s="7">
        <v>5.8999999999999997E-2</v>
      </c>
      <c r="H20" s="7">
        <v>0.48799999999999999</v>
      </c>
    </row>
    <row r="21" spans="1:8" ht="28.8" x14ac:dyDescent="0.3">
      <c r="A21" s="5">
        <v>111411</v>
      </c>
      <c r="B21" s="5">
        <v>111400</v>
      </c>
      <c r="C21" s="6" t="s">
        <v>27</v>
      </c>
      <c r="D21" s="4" t="s">
        <v>5</v>
      </c>
      <c r="E21" s="1" t="s">
        <v>6</v>
      </c>
      <c r="F21" s="7">
        <v>0.26600000000000001</v>
      </c>
      <c r="G21" s="7">
        <v>4.1000000000000002E-2</v>
      </c>
      <c r="H21" s="7">
        <v>0.307</v>
      </c>
    </row>
    <row r="22" spans="1:8" ht="28.8" x14ac:dyDescent="0.3">
      <c r="A22" s="5">
        <v>111419</v>
      </c>
      <c r="B22" s="5">
        <v>111400</v>
      </c>
      <c r="C22" s="6" t="s">
        <v>28</v>
      </c>
      <c r="D22" s="4" t="s">
        <v>5</v>
      </c>
      <c r="E22" s="1" t="s">
        <v>6</v>
      </c>
      <c r="F22" s="7">
        <v>0.26600000000000001</v>
      </c>
      <c r="G22" s="7">
        <v>4.1000000000000002E-2</v>
      </c>
      <c r="H22" s="7">
        <v>0.307</v>
      </c>
    </row>
    <row r="23" spans="1:8" ht="28.8" x14ac:dyDescent="0.3">
      <c r="A23" s="5">
        <v>111421</v>
      </c>
      <c r="B23" s="5">
        <v>111400</v>
      </c>
      <c r="C23" s="6" t="s">
        <v>29</v>
      </c>
      <c r="D23" s="4" t="s">
        <v>5</v>
      </c>
      <c r="E23" s="1" t="s">
        <v>6</v>
      </c>
      <c r="F23" s="7">
        <v>0.26600000000000001</v>
      </c>
      <c r="G23" s="7">
        <v>4.1000000000000002E-2</v>
      </c>
      <c r="H23" s="7">
        <v>0.307</v>
      </c>
    </row>
    <row r="24" spans="1:8" ht="28.8" x14ac:dyDescent="0.3">
      <c r="A24" s="5">
        <v>111422</v>
      </c>
      <c r="B24" s="5">
        <v>111400</v>
      </c>
      <c r="C24" s="6" t="s">
        <v>30</v>
      </c>
      <c r="D24" s="4" t="s">
        <v>5</v>
      </c>
      <c r="E24" s="1" t="s">
        <v>6</v>
      </c>
      <c r="F24" s="7">
        <v>0.26600000000000001</v>
      </c>
      <c r="G24" s="7">
        <v>4.1000000000000002E-2</v>
      </c>
      <c r="H24" s="7">
        <v>0.307</v>
      </c>
    </row>
    <row r="25" spans="1:8" ht="28.8" x14ac:dyDescent="0.3">
      <c r="A25" s="5">
        <v>111910</v>
      </c>
      <c r="B25" s="5">
        <v>111900</v>
      </c>
      <c r="C25" s="6" t="s">
        <v>31</v>
      </c>
      <c r="D25" s="4" t="s">
        <v>5</v>
      </c>
      <c r="E25" s="1" t="s">
        <v>6</v>
      </c>
      <c r="F25" s="7">
        <v>0.70299999999999996</v>
      </c>
      <c r="G25" s="7">
        <v>3.6999999999999998E-2</v>
      </c>
      <c r="H25" s="7">
        <v>0.74</v>
      </c>
    </row>
    <row r="26" spans="1:8" ht="28.8" x14ac:dyDescent="0.3">
      <c r="A26" s="5">
        <v>111920</v>
      </c>
      <c r="B26" s="5">
        <v>111900</v>
      </c>
      <c r="C26" s="6" t="s">
        <v>32</v>
      </c>
      <c r="D26" s="4" t="s">
        <v>5</v>
      </c>
      <c r="E26" s="1" t="s">
        <v>6</v>
      </c>
      <c r="F26" s="7">
        <v>0.70299999999999996</v>
      </c>
      <c r="G26" s="7">
        <v>3.6999999999999998E-2</v>
      </c>
      <c r="H26" s="7">
        <v>0.74</v>
      </c>
    </row>
    <row r="27" spans="1:8" ht="28.8" x14ac:dyDescent="0.3">
      <c r="A27" s="5">
        <v>111930</v>
      </c>
      <c r="B27" s="5">
        <v>111900</v>
      </c>
      <c r="C27" s="6" t="s">
        <v>33</v>
      </c>
      <c r="D27" s="4" t="s">
        <v>5</v>
      </c>
      <c r="E27" s="1" t="s">
        <v>6</v>
      </c>
      <c r="F27" s="7">
        <v>0.70299999999999996</v>
      </c>
      <c r="G27" s="7">
        <v>3.6999999999999998E-2</v>
      </c>
      <c r="H27" s="7">
        <v>0.74</v>
      </c>
    </row>
    <row r="28" spans="1:8" ht="28.8" x14ac:dyDescent="0.3">
      <c r="A28" s="5">
        <v>111940</v>
      </c>
      <c r="B28" s="5">
        <v>111900</v>
      </c>
      <c r="C28" s="6" t="s">
        <v>34</v>
      </c>
      <c r="D28" s="4" t="s">
        <v>5</v>
      </c>
      <c r="E28" s="1" t="s">
        <v>6</v>
      </c>
      <c r="F28" s="7">
        <v>0.70299999999999996</v>
      </c>
      <c r="G28" s="7">
        <v>3.6999999999999998E-2</v>
      </c>
      <c r="H28" s="7">
        <v>0.74</v>
      </c>
    </row>
    <row r="29" spans="1:8" ht="28.8" x14ac:dyDescent="0.3">
      <c r="A29" s="5">
        <v>111991</v>
      </c>
      <c r="B29" s="5">
        <v>111900</v>
      </c>
      <c r="C29" s="6" t="s">
        <v>35</v>
      </c>
      <c r="D29" s="4" t="s">
        <v>5</v>
      </c>
      <c r="E29" s="1" t="s">
        <v>6</v>
      </c>
      <c r="F29" s="7">
        <v>0.70299999999999996</v>
      </c>
      <c r="G29" s="7">
        <v>3.6999999999999998E-2</v>
      </c>
      <c r="H29" s="7">
        <v>0.74</v>
      </c>
    </row>
    <row r="30" spans="1:8" ht="28.8" x14ac:dyDescent="0.3">
      <c r="A30" s="5">
        <v>111992</v>
      </c>
      <c r="B30" s="5">
        <v>111900</v>
      </c>
      <c r="C30" s="6" t="s">
        <v>36</v>
      </c>
      <c r="D30" s="4" t="s">
        <v>5</v>
      </c>
      <c r="E30" s="1" t="s">
        <v>6</v>
      </c>
      <c r="F30" s="7">
        <v>0.70299999999999996</v>
      </c>
      <c r="G30" s="7">
        <v>3.6999999999999998E-2</v>
      </c>
      <c r="H30" s="7">
        <v>0.74</v>
      </c>
    </row>
    <row r="31" spans="1:8" ht="28.8" x14ac:dyDescent="0.3">
      <c r="A31" s="5">
        <v>111998</v>
      </c>
      <c r="B31" s="5">
        <v>111900</v>
      </c>
      <c r="C31" s="6" t="s">
        <v>37</v>
      </c>
      <c r="D31" s="4" t="s">
        <v>5</v>
      </c>
      <c r="E31" s="1" t="s">
        <v>6</v>
      </c>
      <c r="F31" s="7">
        <v>0.70299999999999996</v>
      </c>
      <c r="G31" s="7">
        <v>3.6999999999999998E-2</v>
      </c>
      <c r="H31" s="7">
        <v>0.74</v>
      </c>
    </row>
    <row r="32" spans="1:8" ht="28.8" x14ac:dyDescent="0.3">
      <c r="A32" s="5">
        <v>112111</v>
      </c>
      <c r="B32" s="5" t="s">
        <v>39</v>
      </c>
      <c r="C32" s="6" t="s">
        <v>38</v>
      </c>
      <c r="D32" s="4" t="s">
        <v>5</v>
      </c>
      <c r="E32" s="1" t="s">
        <v>6</v>
      </c>
      <c r="F32" s="7">
        <v>2.847</v>
      </c>
      <c r="G32" s="7">
        <v>4.4999999999999998E-2</v>
      </c>
      <c r="H32" s="7">
        <v>2.8929999999999998</v>
      </c>
    </row>
    <row r="33" spans="1:8" ht="28.8" x14ac:dyDescent="0.3">
      <c r="A33" s="5">
        <v>112112</v>
      </c>
      <c r="B33" s="5" t="s">
        <v>39</v>
      </c>
      <c r="C33" s="6" t="s">
        <v>40</v>
      </c>
      <c r="D33" s="4" t="s">
        <v>5</v>
      </c>
      <c r="E33" s="1" t="s">
        <v>6</v>
      </c>
      <c r="F33" s="7">
        <v>2.847</v>
      </c>
      <c r="G33" s="7">
        <v>4.4999999999999998E-2</v>
      </c>
      <c r="H33" s="7">
        <v>2.8929999999999998</v>
      </c>
    </row>
    <row r="34" spans="1:8" ht="28.8" x14ac:dyDescent="0.3">
      <c r="A34" s="5">
        <v>112120</v>
      </c>
      <c r="B34" s="5">
        <v>112120</v>
      </c>
      <c r="C34" s="6" t="s">
        <v>41</v>
      </c>
      <c r="D34" s="4" t="s">
        <v>5</v>
      </c>
      <c r="E34" s="1" t="s">
        <v>6</v>
      </c>
      <c r="F34" s="7">
        <v>1.6819999999999999</v>
      </c>
      <c r="G34" s="7">
        <v>4.2000000000000003E-2</v>
      </c>
      <c r="H34" s="7">
        <v>1.724</v>
      </c>
    </row>
    <row r="35" spans="1:8" ht="28.8" x14ac:dyDescent="0.3">
      <c r="A35" s="5">
        <v>112130</v>
      </c>
      <c r="B35" s="5" t="s">
        <v>39</v>
      </c>
      <c r="C35" s="6" t="s">
        <v>42</v>
      </c>
      <c r="D35" s="4" t="s">
        <v>5</v>
      </c>
      <c r="E35" s="1" t="s">
        <v>6</v>
      </c>
      <c r="F35" s="7">
        <v>2.847</v>
      </c>
      <c r="G35" s="7">
        <v>4.4999999999999998E-2</v>
      </c>
      <c r="H35" s="7">
        <v>2.8929999999999998</v>
      </c>
    </row>
    <row r="36" spans="1:8" ht="28.8" x14ac:dyDescent="0.3">
      <c r="A36" s="5">
        <v>112210</v>
      </c>
      <c r="B36" s="5" t="s">
        <v>44</v>
      </c>
      <c r="C36" s="6" t="s">
        <v>43</v>
      </c>
      <c r="D36" s="4" t="s">
        <v>5</v>
      </c>
      <c r="E36" s="1" t="s">
        <v>6</v>
      </c>
      <c r="F36" s="7">
        <v>1.077</v>
      </c>
      <c r="G36" s="7">
        <v>5.0999999999999997E-2</v>
      </c>
      <c r="H36" s="7">
        <v>1.1279999999999999</v>
      </c>
    </row>
    <row r="37" spans="1:8" ht="28.8" x14ac:dyDescent="0.3">
      <c r="A37" s="5">
        <v>112310</v>
      </c>
      <c r="B37" s="5">
        <v>112300</v>
      </c>
      <c r="C37" s="6" t="s">
        <v>45</v>
      </c>
      <c r="D37" s="4" t="s">
        <v>5</v>
      </c>
      <c r="E37" s="1" t="s">
        <v>6</v>
      </c>
      <c r="F37" s="7">
        <v>0.40699999999999997</v>
      </c>
      <c r="G37" s="7">
        <v>3.1E-2</v>
      </c>
      <c r="H37" s="7">
        <v>0.438</v>
      </c>
    </row>
    <row r="38" spans="1:8" ht="28.8" x14ac:dyDescent="0.3">
      <c r="A38" s="5">
        <v>112320</v>
      </c>
      <c r="B38" s="5">
        <v>112300</v>
      </c>
      <c r="C38" s="6" t="s">
        <v>46</v>
      </c>
      <c r="D38" s="4" t="s">
        <v>5</v>
      </c>
      <c r="E38" s="1" t="s">
        <v>6</v>
      </c>
      <c r="F38" s="7">
        <v>0.40699999999999997</v>
      </c>
      <c r="G38" s="7">
        <v>3.1E-2</v>
      </c>
      <c r="H38" s="7">
        <v>0.438</v>
      </c>
    </row>
    <row r="39" spans="1:8" ht="28.8" x14ac:dyDescent="0.3">
      <c r="A39" s="5">
        <v>112330</v>
      </c>
      <c r="B39" s="5">
        <v>112300</v>
      </c>
      <c r="C39" s="6" t="s">
        <v>47</v>
      </c>
      <c r="D39" s="4" t="s">
        <v>5</v>
      </c>
      <c r="E39" s="1" t="s">
        <v>6</v>
      </c>
      <c r="F39" s="7">
        <v>0.40699999999999997</v>
      </c>
      <c r="G39" s="7">
        <v>3.1E-2</v>
      </c>
      <c r="H39" s="7">
        <v>0.438</v>
      </c>
    </row>
    <row r="40" spans="1:8" ht="28.8" x14ac:dyDescent="0.3">
      <c r="A40" s="5">
        <v>112340</v>
      </c>
      <c r="B40" s="5">
        <v>112300</v>
      </c>
      <c r="C40" s="6" t="s">
        <v>48</v>
      </c>
      <c r="D40" s="4" t="s">
        <v>5</v>
      </c>
      <c r="E40" s="1" t="s">
        <v>6</v>
      </c>
      <c r="F40" s="7">
        <v>0.40699999999999997</v>
      </c>
      <c r="G40" s="7">
        <v>3.1E-2</v>
      </c>
      <c r="H40" s="7">
        <v>0.438</v>
      </c>
    </row>
    <row r="41" spans="1:8" ht="28.8" x14ac:dyDescent="0.3">
      <c r="A41" s="5">
        <v>112390</v>
      </c>
      <c r="B41" s="5">
        <v>112300</v>
      </c>
      <c r="C41" s="6" t="s">
        <v>49</v>
      </c>
      <c r="D41" s="4" t="s">
        <v>5</v>
      </c>
      <c r="E41" s="1" t="s">
        <v>6</v>
      </c>
      <c r="F41" s="7">
        <v>0.40699999999999997</v>
      </c>
      <c r="G41" s="7">
        <v>3.1E-2</v>
      </c>
      <c r="H41" s="7">
        <v>0.438</v>
      </c>
    </row>
    <row r="42" spans="1:8" ht="28.8" x14ac:dyDescent="0.3">
      <c r="A42" s="5">
        <v>112410</v>
      </c>
      <c r="B42" s="5" t="s">
        <v>44</v>
      </c>
      <c r="C42" s="6" t="s">
        <v>50</v>
      </c>
      <c r="D42" s="4" t="s">
        <v>5</v>
      </c>
      <c r="E42" s="1" t="s">
        <v>6</v>
      </c>
      <c r="F42" s="7">
        <v>1.077</v>
      </c>
      <c r="G42" s="7">
        <v>5.0999999999999997E-2</v>
      </c>
      <c r="H42" s="7">
        <v>1.1279999999999999</v>
      </c>
    </row>
    <row r="43" spans="1:8" ht="28.8" x14ac:dyDescent="0.3">
      <c r="A43" s="5">
        <v>112420</v>
      </c>
      <c r="B43" s="5" t="s">
        <v>44</v>
      </c>
      <c r="C43" s="6" t="s">
        <v>51</v>
      </c>
      <c r="D43" s="4" t="s">
        <v>5</v>
      </c>
      <c r="E43" s="1" t="s">
        <v>6</v>
      </c>
      <c r="F43" s="7">
        <v>1.077</v>
      </c>
      <c r="G43" s="7">
        <v>5.0999999999999997E-2</v>
      </c>
      <c r="H43" s="7">
        <v>1.1279999999999999</v>
      </c>
    </row>
    <row r="44" spans="1:8" ht="28.8" x14ac:dyDescent="0.3">
      <c r="A44" s="5">
        <v>112511</v>
      </c>
      <c r="B44" s="5" t="s">
        <v>44</v>
      </c>
      <c r="C44" s="6" t="s">
        <v>52</v>
      </c>
      <c r="D44" s="4" t="s">
        <v>5</v>
      </c>
      <c r="E44" s="1" t="s">
        <v>6</v>
      </c>
      <c r="F44" s="7">
        <v>1.077</v>
      </c>
      <c r="G44" s="7">
        <v>5.0999999999999997E-2</v>
      </c>
      <c r="H44" s="7">
        <v>1.1279999999999999</v>
      </c>
    </row>
    <row r="45" spans="1:8" ht="28.8" x14ac:dyDescent="0.3">
      <c r="A45" s="5">
        <v>112512</v>
      </c>
      <c r="B45" s="5" t="s">
        <v>44</v>
      </c>
      <c r="C45" s="6" t="s">
        <v>53</v>
      </c>
      <c r="D45" s="4" t="s">
        <v>5</v>
      </c>
      <c r="E45" s="1" t="s">
        <v>6</v>
      </c>
      <c r="F45" s="7">
        <v>1.077</v>
      </c>
      <c r="G45" s="7">
        <v>5.0999999999999997E-2</v>
      </c>
      <c r="H45" s="7">
        <v>1.1279999999999999</v>
      </c>
    </row>
    <row r="46" spans="1:8" ht="28.8" x14ac:dyDescent="0.3">
      <c r="A46" s="5">
        <v>112519</v>
      </c>
      <c r="B46" s="5" t="s">
        <v>44</v>
      </c>
      <c r="C46" s="6" t="s">
        <v>54</v>
      </c>
      <c r="D46" s="4" t="s">
        <v>5</v>
      </c>
      <c r="E46" s="1" t="s">
        <v>6</v>
      </c>
      <c r="F46" s="7">
        <v>1.077</v>
      </c>
      <c r="G46" s="7">
        <v>5.0999999999999997E-2</v>
      </c>
      <c r="H46" s="7">
        <v>1.1279999999999999</v>
      </c>
    </row>
    <row r="47" spans="1:8" ht="28.8" x14ac:dyDescent="0.3">
      <c r="A47" s="5">
        <v>112910</v>
      </c>
      <c r="B47" s="5" t="s">
        <v>44</v>
      </c>
      <c r="C47" s="6" t="s">
        <v>55</v>
      </c>
      <c r="D47" s="4" t="s">
        <v>5</v>
      </c>
      <c r="E47" s="1" t="s">
        <v>6</v>
      </c>
      <c r="F47" s="7">
        <v>1.077</v>
      </c>
      <c r="G47" s="7">
        <v>5.0999999999999997E-2</v>
      </c>
      <c r="H47" s="7">
        <v>1.1279999999999999</v>
      </c>
    </row>
    <row r="48" spans="1:8" ht="28.8" x14ac:dyDescent="0.3">
      <c r="A48" s="5">
        <v>112920</v>
      </c>
      <c r="B48" s="5" t="s">
        <v>44</v>
      </c>
      <c r="C48" s="6" t="s">
        <v>56</v>
      </c>
      <c r="D48" s="4" t="s">
        <v>5</v>
      </c>
      <c r="E48" s="1" t="s">
        <v>6</v>
      </c>
      <c r="F48" s="7">
        <v>1.077</v>
      </c>
      <c r="G48" s="7">
        <v>5.0999999999999997E-2</v>
      </c>
      <c r="H48" s="7">
        <v>1.1279999999999999</v>
      </c>
    </row>
    <row r="49" spans="1:8" ht="28.8" x14ac:dyDescent="0.3">
      <c r="A49" s="5">
        <v>112930</v>
      </c>
      <c r="B49" s="5" t="s">
        <v>44</v>
      </c>
      <c r="C49" s="6" t="s">
        <v>57</v>
      </c>
      <c r="D49" s="4" t="s">
        <v>5</v>
      </c>
      <c r="E49" s="1" t="s">
        <v>6</v>
      </c>
      <c r="F49" s="7">
        <v>1.077</v>
      </c>
      <c r="G49" s="7">
        <v>5.0999999999999997E-2</v>
      </c>
      <c r="H49" s="7">
        <v>1.1279999999999999</v>
      </c>
    </row>
    <row r="50" spans="1:8" ht="28.8" x14ac:dyDescent="0.3">
      <c r="A50" s="5">
        <v>112990</v>
      </c>
      <c r="B50" s="5" t="s">
        <v>44</v>
      </c>
      <c r="C50" s="6" t="s">
        <v>58</v>
      </c>
      <c r="D50" s="4" t="s">
        <v>5</v>
      </c>
      <c r="E50" s="1" t="s">
        <v>6</v>
      </c>
      <c r="F50" s="7">
        <v>1.077</v>
      </c>
      <c r="G50" s="7">
        <v>5.0999999999999997E-2</v>
      </c>
      <c r="H50" s="7">
        <v>1.1279999999999999</v>
      </c>
    </row>
    <row r="51" spans="1:8" ht="28.8" x14ac:dyDescent="0.3">
      <c r="A51" s="5">
        <v>113110</v>
      </c>
      <c r="B51" s="5">
        <v>113000</v>
      </c>
      <c r="C51" s="6" t="s">
        <v>59</v>
      </c>
      <c r="D51" s="4" t="s">
        <v>5</v>
      </c>
      <c r="E51" s="1" t="s">
        <v>6</v>
      </c>
      <c r="F51" s="7">
        <v>0.19900000000000001</v>
      </c>
      <c r="G51" s="7">
        <v>4.4999999999999998E-2</v>
      </c>
      <c r="H51" s="7">
        <v>0.24299999999999999</v>
      </c>
    </row>
    <row r="52" spans="1:8" ht="28.8" x14ac:dyDescent="0.3">
      <c r="A52" s="5">
        <v>113210</v>
      </c>
      <c r="B52" s="5">
        <v>113000</v>
      </c>
      <c r="C52" s="6" t="s">
        <v>60</v>
      </c>
      <c r="D52" s="4" t="s">
        <v>5</v>
      </c>
      <c r="E52" s="1" t="s">
        <v>6</v>
      </c>
      <c r="F52" s="7">
        <v>0.19900000000000001</v>
      </c>
      <c r="G52" s="7">
        <v>4.4999999999999998E-2</v>
      </c>
      <c r="H52" s="7">
        <v>0.24299999999999999</v>
      </c>
    </row>
    <row r="53" spans="1:8" ht="28.8" x14ac:dyDescent="0.3">
      <c r="A53" s="5">
        <v>113310</v>
      </c>
      <c r="B53" s="5">
        <v>113000</v>
      </c>
      <c r="C53" s="6" t="s">
        <v>61</v>
      </c>
      <c r="D53" s="4" t="s">
        <v>5</v>
      </c>
      <c r="E53" s="1" t="s">
        <v>6</v>
      </c>
      <c r="F53" s="7">
        <v>0.19900000000000001</v>
      </c>
      <c r="G53" s="7">
        <v>4.4999999999999998E-2</v>
      </c>
      <c r="H53" s="7">
        <v>0.24299999999999999</v>
      </c>
    </row>
    <row r="54" spans="1:8" ht="28.8" x14ac:dyDescent="0.3">
      <c r="A54" s="5">
        <v>114111</v>
      </c>
      <c r="B54" s="5">
        <v>114000</v>
      </c>
      <c r="C54" s="6" t="s">
        <v>62</v>
      </c>
      <c r="D54" s="4" t="s">
        <v>5</v>
      </c>
      <c r="E54" s="1" t="s">
        <v>6</v>
      </c>
      <c r="F54" s="7">
        <v>0.127</v>
      </c>
      <c r="G54" s="7">
        <v>2.7E-2</v>
      </c>
      <c r="H54" s="7">
        <v>0.154</v>
      </c>
    </row>
    <row r="55" spans="1:8" ht="28.8" x14ac:dyDescent="0.3">
      <c r="A55" s="5">
        <v>114112</v>
      </c>
      <c r="B55" s="5">
        <v>114000</v>
      </c>
      <c r="C55" s="6" t="s">
        <v>63</v>
      </c>
      <c r="D55" s="4" t="s">
        <v>5</v>
      </c>
      <c r="E55" s="1" t="s">
        <v>6</v>
      </c>
      <c r="F55" s="7">
        <v>0.127</v>
      </c>
      <c r="G55" s="7">
        <v>2.7E-2</v>
      </c>
      <c r="H55" s="7">
        <v>0.154</v>
      </c>
    </row>
    <row r="56" spans="1:8" ht="28.8" x14ac:dyDescent="0.3">
      <c r="A56" s="5">
        <v>114119</v>
      </c>
      <c r="B56" s="5">
        <v>114000</v>
      </c>
      <c r="C56" s="6" t="s">
        <v>64</v>
      </c>
      <c r="D56" s="4" t="s">
        <v>5</v>
      </c>
      <c r="E56" s="1" t="s">
        <v>6</v>
      </c>
      <c r="F56" s="7">
        <v>0.127</v>
      </c>
      <c r="G56" s="7">
        <v>2.7E-2</v>
      </c>
      <c r="H56" s="7">
        <v>0.154</v>
      </c>
    </row>
    <row r="57" spans="1:8" ht="28.8" x14ac:dyDescent="0.3">
      <c r="A57" s="5">
        <v>114210</v>
      </c>
      <c r="B57" s="5">
        <v>114000</v>
      </c>
      <c r="C57" s="6" t="s">
        <v>65</v>
      </c>
      <c r="D57" s="4" t="s">
        <v>5</v>
      </c>
      <c r="E57" s="1" t="s">
        <v>6</v>
      </c>
      <c r="F57" s="7">
        <v>0.127</v>
      </c>
      <c r="G57" s="7">
        <v>2.7E-2</v>
      </c>
      <c r="H57" s="7">
        <v>0.154</v>
      </c>
    </row>
    <row r="58" spans="1:8" ht="28.8" x14ac:dyDescent="0.3">
      <c r="A58" s="5">
        <v>115111</v>
      </c>
      <c r="B58" s="5">
        <v>115000</v>
      </c>
      <c r="C58" s="6" t="s">
        <v>66</v>
      </c>
      <c r="D58" s="4" t="s">
        <v>5</v>
      </c>
      <c r="E58" s="1" t="s">
        <v>6</v>
      </c>
      <c r="F58" s="7">
        <v>0.38400000000000001</v>
      </c>
      <c r="G58" s="7">
        <v>0</v>
      </c>
      <c r="H58" s="7">
        <v>0.38400000000000001</v>
      </c>
    </row>
    <row r="59" spans="1:8" ht="28.8" x14ac:dyDescent="0.3">
      <c r="A59" s="5">
        <v>115112</v>
      </c>
      <c r="B59" s="5">
        <v>115000</v>
      </c>
      <c r="C59" s="6" t="s">
        <v>67</v>
      </c>
      <c r="D59" s="4" t="s">
        <v>5</v>
      </c>
      <c r="E59" s="1" t="s">
        <v>6</v>
      </c>
      <c r="F59" s="7">
        <v>0.38400000000000001</v>
      </c>
      <c r="G59" s="7">
        <v>0</v>
      </c>
      <c r="H59" s="7">
        <v>0.38400000000000001</v>
      </c>
    </row>
    <row r="60" spans="1:8" ht="28.8" x14ac:dyDescent="0.3">
      <c r="A60" s="5">
        <v>115113</v>
      </c>
      <c r="B60" s="5">
        <v>115000</v>
      </c>
      <c r="C60" s="6" t="s">
        <v>68</v>
      </c>
      <c r="D60" s="4" t="s">
        <v>5</v>
      </c>
      <c r="E60" s="1" t="s">
        <v>6</v>
      </c>
      <c r="F60" s="7">
        <v>0.38400000000000001</v>
      </c>
      <c r="G60" s="7">
        <v>0</v>
      </c>
      <c r="H60" s="7">
        <v>0.38400000000000001</v>
      </c>
    </row>
    <row r="61" spans="1:8" ht="28.8" x14ac:dyDescent="0.3">
      <c r="A61" s="5">
        <v>115114</v>
      </c>
      <c r="B61" s="5">
        <v>115000</v>
      </c>
      <c r="C61" s="6" t="s">
        <v>69</v>
      </c>
      <c r="D61" s="4" t="s">
        <v>5</v>
      </c>
      <c r="E61" s="1" t="s">
        <v>6</v>
      </c>
      <c r="F61" s="7">
        <v>0.38400000000000001</v>
      </c>
      <c r="G61" s="7">
        <v>0</v>
      </c>
      <c r="H61" s="7">
        <v>0.38400000000000001</v>
      </c>
    </row>
    <row r="62" spans="1:8" ht="28.8" x14ac:dyDescent="0.3">
      <c r="A62" s="5">
        <v>115115</v>
      </c>
      <c r="B62" s="5">
        <v>115000</v>
      </c>
      <c r="C62" s="6" t="s">
        <v>70</v>
      </c>
      <c r="D62" s="4" t="s">
        <v>5</v>
      </c>
      <c r="E62" s="1" t="s">
        <v>6</v>
      </c>
      <c r="F62" s="7">
        <v>0.38400000000000001</v>
      </c>
      <c r="G62" s="7">
        <v>0</v>
      </c>
      <c r="H62" s="7">
        <v>0.38400000000000001</v>
      </c>
    </row>
    <row r="63" spans="1:8" ht="28.8" x14ac:dyDescent="0.3">
      <c r="A63" s="5">
        <v>115116</v>
      </c>
      <c r="B63" s="5">
        <v>115000</v>
      </c>
      <c r="C63" s="6" t="s">
        <v>71</v>
      </c>
      <c r="D63" s="4" t="s">
        <v>5</v>
      </c>
      <c r="E63" s="1" t="s">
        <v>6</v>
      </c>
      <c r="F63" s="7">
        <v>0.38400000000000001</v>
      </c>
      <c r="G63" s="7">
        <v>0</v>
      </c>
      <c r="H63" s="7">
        <v>0.38400000000000001</v>
      </c>
    </row>
    <row r="64" spans="1:8" ht="28.8" x14ac:dyDescent="0.3">
      <c r="A64" s="5">
        <v>115210</v>
      </c>
      <c r="B64" s="5">
        <v>115000</v>
      </c>
      <c r="C64" s="6" t="s">
        <v>72</v>
      </c>
      <c r="D64" s="4" t="s">
        <v>5</v>
      </c>
      <c r="E64" s="1" t="s">
        <v>6</v>
      </c>
      <c r="F64" s="7">
        <v>0.38400000000000001</v>
      </c>
      <c r="G64" s="7">
        <v>0</v>
      </c>
      <c r="H64" s="7">
        <v>0.38400000000000001</v>
      </c>
    </row>
    <row r="65" spans="1:8" ht="28.8" x14ac:dyDescent="0.3">
      <c r="A65" s="5">
        <v>115310</v>
      </c>
      <c r="B65" s="5">
        <v>115000</v>
      </c>
      <c r="C65" s="6" t="s">
        <v>73</v>
      </c>
      <c r="D65" s="4" t="s">
        <v>5</v>
      </c>
      <c r="E65" s="1" t="s">
        <v>6</v>
      </c>
      <c r="F65" s="7">
        <v>0.38400000000000001</v>
      </c>
      <c r="G65" s="7">
        <v>0</v>
      </c>
      <c r="H65" s="7">
        <v>0.38400000000000001</v>
      </c>
    </row>
    <row r="66" spans="1:8" ht="28.8" x14ac:dyDescent="0.3">
      <c r="A66" s="5">
        <v>211120</v>
      </c>
      <c r="B66" s="5">
        <v>211000</v>
      </c>
      <c r="C66" s="6" t="s">
        <v>74</v>
      </c>
      <c r="D66" s="4" t="s">
        <v>5</v>
      </c>
      <c r="E66" s="1" t="s">
        <v>6</v>
      </c>
      <c r="F66" s="7">
        <v>0.377</v>
      </c>
      <c r="G66" s="7">
        <v>2.8000000000000001E-2</v>
      </c>
      <c r="H66" s="7">
        <v>0.40500000000000003</v>
      </c>
    </row>
    <row r="67" spans="1:8" ht="28.8" x14ac:dyDescent="0.3">
      <c r="A67" s="5">
        <v>211130</v>
      </c>
      <c r="B67" s="5">
        <v>211000</v>
      </c>
      <c r="C67" s="6" t="s">
        <v>75</v>
      </c>
      <c r="D67" s="4" t="s">
        <v>5</v>
      </c>
      <c r="E67" s="1" t="s">
        <v>6</v>
      </c>
      <c r="F67" s="7">
        <v>0.377</v>
      </c>
      <c r="G67" s="7">
        <v>2.8000000000000001E-2</v>
      </c>
      <c r="H67" s="7">
        <v>0.40500000000000003</v>
      </c>
    </row>
    <row r="68" spans="1:8" ht="28.8" x14ac:dyDescent="0.3">
      <c r="A68" s="5">
        <v>212111</v>
      </c>
      <c r="B68" s="5">
        <v>212100</v>
      </c>
      <c r="C68" s="6" t="s">
        <v>76</v>
      </c>
      <c r="D68" s="4" t="s">
        <v>5</v>
      </c>
      <c r="E68" s="1" t="s">
        <v>6</v>
      </c>
      <c r="F68" s="7">
        <v>0.747</v>
      </c>
      <c r="G68" s="7">
        <v>9.4E-2</v>
      </c>
      <c r="H68" s="7">
        <v>0.84099999999999997</v>
      </c>
    </row>
    <row r="69" spans="1:8" ht="28.8" x14ac:dyDescent="0.3">
      <c r="A69" s="5">
        <v>212112</v>
      </c>
      <c r="B69" s="5">
        <v>212100</v>
      </c>
      <c r="C69" s="6" t="s">
        <v>77</v>
      </c>
      <c r="D69" s="4" t="s">
        <v>5</v>
      </c>
      <c r="E69" s="1" t="s">
        <v>6</v>
      </c>
      <c r="F69" s="7">
        <v>0.747</v>
      </c>
      <c r="G69" s="7">
        <v>9.4E-2</v>
      </c>
      <c r="H69" s="7">
        <v>0.84099999999999997</v>
      </c>
    </row>
    <row r="70" spans="1:8" ht="28.8" x14ac:dyDescent="0.3">
      <c r="A70" s="5">
        <v>212113</v>
      </c>
      <c r="B70" s="5">
        <v>212100</v>
      </c>
      <c r="C70" s="6" t="s">
        <v>78</v>
      </c>
      <c r="D70" s="4" t="s">
        <v>5</v>
      </c>
      <c r="E70" s="1" t="s">
        <v>6</v>
      </c>
      <c r="F70" s="7">
        <v>0.747</v>
      </c>
      <c r="G70" s="7">
        <v>9.4E-2</v>
      </c>
      <c r="H70" s="7">
        <v>0.84099999999999997</v>
      </c>
    </row>
    <row r="71" spans="1:8" ht="28.8" x14ac:dyDescent="0.3">
      <c r="A71" s="5">
        <v>212210</v>
      </c>
      <c r="B71" s="5" t="s">
        <v>80</v>
      </c>
      <c r="C71" s="6" t="s">
        <v>79</v>
      </c>
      <c r="D71" s="4" t="s">
        <v>5</v>
      </c>
      <c r="E71" s="1" t="s">
        <v>6</v>
      </c>
      <c r="F71" s="7">
        <v>0.54</v>
      </c>
      <c r="G71" s="7">
        <v>5.3999999999999999E-2</v>
      </c>
      <c r="H71" s="7">
        <v>0.59299999999999997</v>
      </c>
    </row>
    <row r="72" spans="1:8" ht="28.8" x14ac:dyDescent="0.3">
      <c r="A72" s="5">
        <v>212221</v>
      </c>
      <c r="B72" s="5" t="s">
        <v>80</v>
      </c>
      <c r="C72" s="6" t="s">
        <v>81</v>
      </c>
      <c r="D72" s="4" t="s">
        <v>5</v>
      </c>
      <c r="E72" s="1" t="s">
        <v>6</v>
      </c>
      <c r="F72" s="7">
        <v>0.54</v>
      </c>
      <c r="G72" s="7">
        <v>5.3999999999999999E-2</v>
      </c>
      <c r="H72" s="7">
        <v>0.59299999999999997</v>
      </c>
    </row>
    <row r="73" spans="1:8" ht="28.8" x14ac:dyDescent="0.3">
      <c r="A73" s="5">
        <v>212222</v>
      </c>
      <c r="B73" s="5" t="s">
        <v>80</v>
      </c>
      <c r="C73" s="6" t="s">
        <v>82</v>
      </c>
      <c r="D73" s="4" t="s">
        <v>5</v>
      </c>
      <c r="E73" s="1" t="s">
        <v>6</v>
      </c>
      <c r="F73" s="7">
        <v>0.54</v>
      </c>
      <c r="G73" s="7">
        <v>5.3999999999999999E-2</v>
      </c>
      <c r="H73" s="7">
        <v>0.59299999999999997</v>
      </c>
    </row>
    <row r="74" spans="1:8" ht="28.8" x14ac:dyDescent="0.3">
      <c r="A74" s="5">
        <v>212230</v>
      </c>
      <c r="B74" s="5">
        <v>212230</v>
      </c>
      <c r="C74" s="6" t="s">
        <v>83</v>
      </c>
      <c r="D74" s="4" t="s">
        <v>5</v>
      </c>
      <c r="E74" s="1" t="s">
        <v>6</v>
      </c>
      <c r="F74" s="7">
        <v>0.27</v>
      </c>
      <c r="G74" s="7">
        <v>5.2999999999999999E-2</v>
      </c>
      <c r="H74" s="7">
        <v>0.32400000000000001</v>
      </c>
    </row>
    <row r="75" spans="1:8" ht="28.8" x14ac:dyDescent="0.3">
      <c r="A75" s="5">
        <v>212291</v>
      </c>
      <c r="B75" s="5" t="s">
        <v>80</v>
      </c>
      <c r="C75" s="6" t="s">
        <v>84</v>
      </c>
      <c r="D75" s="4" t="s">
        <v>5</v>
      </c>
      <c r="E75" s="1" t="s">
        <v>6</v>
      </c>
      <c r="F75" s="7">
        <v>0.54</v>
      </c>
      <c r="G75" s="7">
        <v>5.3999999999999999E-2</v>
      </c>
      <c r="H75" s="7">
        <v>0.59299999999999997</v>
      </c>
    </row>
    <row r="76" spans="1:8" ht="28.8" x14ac:dyDescent="0.3">
      <c r="A76" s="5">
        <v>212299</v>
      </c>
      <c r="B76" s="5" t="s">
        <v>80</v>
      </c>
      <c r="C76" s="6" t="s">
        <v>85</v>
      </c>
      <c r="D76" s="4" t="s">
        <v>5</v>
      </c>
      <c r="E76" s="1" t="s">
        <v>6</v>
      </c>
      <c r="F76" s="7">
        <v>0.54</v>
      </c>
      <c r="G76" s="7">
        <v>5.3999999999999999E-2</v>
      </c>
      <c r="H76" s="7">
        <v>0.59299999999999997</v>
      </c>
    </row>
    <row r="77" spans="1:8" ht="28.8" x14ac:dyDescent="0.3">
      <c r="A77" s="5">
        <v>212311</v>
      </c>
      <c r="B77" s="5">
        <v>212310</v>
      </c>
      <c r="C77" s="6" t="s">
        <v>86</v>
      </c>
      <c r="D77" s="4" t="s">
        <v>5</v>
      </c>
      <c r="E77" s="1" t="s">
        <v>6</v>
      </c>
      <c r="F77" s="7">
        <v>0.193</v>
      </c>
      <c r="G77" s="7">
        <v>8.5999999999999993E-2</v>
      </c>
      <c r="H77" s="7">
        <v>0.27900000000000003</v>
      </c>
    </row>
    <row r="78" spans="1:8" ht="28.8" x14ac:dyDescent="0.3">
      <c r="A78" s="5">
        <v>212312</v>
      </c>
      <c r="B78" s="5">
        <v>212310</v>
      </c>
      <c r="C78" s="6" t="s">
        <v>87</v>
      </c>
      <c r="D78" s="4" t="s">
        <v>5</v>
      </c>
      <c r="E78" s="1" t="s">
        <v>6</v>
      </c>
      <c r="F78" s="7">
        <v>0.193</v>
      </c>
      <c r="G78" s="7">
        <v>8.5999999999999993E-2</v>
      </c>
      <c r="H78" s="7">
        <v>0.27900000000000003</v>
      </c>
    </row>
    <row r="79" spans="1:8" ht="28.8" x14ac:dyDescent="0.3">
      <c r="A79" s="5">
        <v>212313</v>
      </c>
      <c r="B79" s="5">
        <v>212310</v>
      </c>
      <c r="C79" s="6" t="s">
        <v>88</v>
      </c>
      <c r="D79" s="4" t="s">
        <v>5</v>
      </c>
      <c r="E79" s="1" t="s">
        <v>6</v>
      </c>
      <c r="F79" s="7">
        <v>0.193</v>
      </c>
      <c r="G79" s="7">
        <v>8.5999999999999993E-2</v>
      </c>
      <c r="H79" s="7">
        <v>0.27900000000000003</v>
      </c>
    </row>
    <row r="80" spans="1:8" ht="28.8" x14ac:dyDescent="0.3">
      <c r="A80" s="5">
        <v>212319</v>
      </c>
      <c r="B80" s="5">
        <v>212310</v>
      </c>
      <c r="C80" s="6" t="s">
        <v>89</v>
      </c>
      <c r="D80" s="4" t="s">
        <v>5</v>
      </c>
      <c r="E80" s="1" t="s">
        <v>6</v>
      </c>
      <c r="F80" s="7">
        <v>0.193</v>
      </c>
      <c r="G80" s="7">
        <v>8.5999999999999993E-2</v>
      </c>
      <c r="H80" s="7">
        <v>0.27900000000000003</v>
      </c>
    </row>
    <row r="81" spans="1:8" ht="28.8" x14ac:dyDescent="0.3">
      <c r="A81" s="5">
        <v>212321</v>
      </c>
      <c r="B81" s="5" t="s">
        <v>91</v>
      </c>
      <c r="C81" s="6" t="s">
        <v>90</v>
      </c>
      <c r="D81" s="4" t="s">
        <v>5</v>
      </c>
      <c r="E81" s="1" t="s">
        <v>6</v>
      </c>
      <c r="F81" s="7">
        <v>0.184</v>
      </c>
      <c r="G81" s="7">
        <v>0.125</v>
      </c>
      <c r="H81" s="7">
        <v>0.309</v>
      </c>
    </row>
    <row r="82" spans="1:8" ht="28.8" x14ac:dyDescent="0.3">
      <c r="A82" s="5">
        <v>212322</v>
      </c>
      <c r="B82" s="5" t="s">
        <v>91</v>
      </c>
      <c r="C82" s="6" t="s">
        <v>92</v>
      </c>
      <c r="D82" s="4" t="s">
        <v>5</v>
      </c>
      <c r="E82" s="1" t="s">
        <v>6</v>
      </c>
      <c r="F82" s="7">
        <v>0.184</v>
      </c>
      <c r="G82" s="7">
        <v>0.125</v>
      </c>
      <c r="H82" s="7">
        <v>0.309</v>
      </c>
    </row>
    <row r="83" spans="1:8" ht="28.8" x14ac:dyDescent="0.3">
      <c r="A83" s="5">
        <v>212324</v>
      </c>
      <c r="B83" s="5" t="s">
        <v>91</v>
      </c>
      <c r="C83" s="6" t="s">
        <v>93</v>
      </c>
      <c r="D83" s="4" t="s">
        <v>5</v>
      </c>
      <c r="E83" s="1" t="s">
        <v>6</v>
      </c>
      <c r="F83" s="7">
        <v>0.184</v>
      </c>
      <c r="G83" s="7">
        <v>0.125</v>
      </c>
      <c r="H83" s="7">
        <v>0.309</v>
      </c>
    </row>
    <row r="84" spans="1:8" ht="28.8" x14ac:dyDescent="0.3">
      <c r="A84" s="5">
        <v>212325</v>
      </c>
      <c r="B84" s="5" t="s">
        <v>91</v>
      </c>
      <c r="C84" s="6" t="s">
        <v>94</v>
      </c>
      <c r="D84" s="4" t="s">
        <v>5</v>
      </c>
      <c r="E84" s="1" t="s">
        <v>6</v>
      </c>
      <c r="F84" s="7">
        <v>0.184</v>
      </c>
      <c r="G84" s="7">
        <v>0.125</v>
      </c>
      <c r="H84" s="7">
        <v>0.309</v>
      </c>
    </row>
    <row r="85" spans="1:8" ht="28.8" x14ac:dyDescent="0.3">
      <c r="A85" s="5">
        <v>212391</v>
      </c>
      <c r="B85" s="5" t="s">
        <v>91</v>
      </c>
      <c r="C85" s="6" t="s">
        <v>95</v>
      </c>
      <c r="D85" s="4" t="s">
        <v>5</v>
      </c>
      <c r="E85" s="1" t="s">
        <v>6</v>
      </c>
      <c r="F85" s="7">
        <v>0.184</v>
      </c>
      <c r="G85" s="7">
        <v>0.125</v>
      </c>
      <c r="H85" s="7">
        <v>0.309</v>
      </c>
    </row>
    <row r="86" spans="1:8" ht="28.8" x14ac:dyDescent="0.3">
      <c r="A86" s="5">
        <v>212392</v>
      </c>
      <c r="B86" s="5" t="s">
        <v>91</v>
      </c>
      <c r="C86" s="6" t="s">
        <v>96</v>
      </c>
      <c r="D86" s="4" t="s">
        <v>5</v>
      </c>
      <c r="E86" s="1" t="s">
        <v>6</v>
      </c>
      <c r="F86" s="7">
        <v>0.184</v>
      </c>
      <c r="G86" s="7">
        <v>0.125</v>
      </c>
      <c r="H86" s="7">
        <v>0.309</v>
      </c>
    </row>
    <row r="87" spans="1:8" ht="28.8" x14ac:dyDescent="0.3">
      <c r="A87" s="5">
        <v>212393</v>
      </c>
      <c r="B87" s="5" t="s">
        <v>91</v>
      </c>
      <c r="C87" s="6" t="s">
        <v>97</v>
      </c>
      <c r="D87" s="4" t="s">
        <v>5</v>
      </c>
      <c r="E87" s="1" t="s">
        <v>6</v>
      </c>
      <c r="F87" s="7">
        <v>0.184</v>
      </c>
      <c r="G87" s="7">
        <v>0.125</v>
      </c>
      <c r="H87" s="7">
        <v>0.309</v>
      </c>
    </row>
    <row r="88" spans="1:8" ht="28.8" x14ac:dyDescent="0.3">
      <c r="A88" s="5">
        <v>212399</v>
      </c>
      <c r="B88" s="5" t="s">
        <v>91</v>
      </c>
      <c r="C88" s="6" t="s">
        <v>98</v>
      </c>
      <c r="D88" s="4" t="s">
        <v>5</v>
      </c>
      <c r="E88" s="1" t="s">
        <v>6</v>
      </c>
      <c r="F88" s="7">
        <v>0.184</v>
      </c>
      <c r="G88" s="7">
        <v>0.125</v>
      </c>
      <c r="H88" s="7">
        <v>0.309</v>
      </c>
    </row>
    <row r="89" spans="1:8" ht="28.8" x14ac:dyDescent="0.3">
      <c r="A89" s="5">
        <v>213111</v>
      </c>
      <c r="B89" s="5">
        <v>213111</v>
      </c>
      <c r="C89" s="6" t="s">
        <v>99</v>
      </c>
      <c r="D89" s="4" t="s">
        <v>5</v>
      </c>
      <c r="E89" s="1" t="s">
        <v>6</v>
      </c>
      <c r="F89" s="7">
        <v>0.40699999999999997</v>
      </c>
      <c r="G89" s="7">
        <v>0</v>
      </c>
      <c r="H89" s="7">
        <v>0.40699999999999997</v>
      </c>
    </row>
    <row r="90" spans="1:8" ht="28.8" x14ac:dyDescent="0.3">
      <c r="A90" s="5">
        <v>213112</v>
      </c>
      <c r="B90" s="5" t="s">
        <v>101</v>
      </c>
      <c r="C90" s="6" t="s">
        <v>100</v>
      </c>
      <c r="D90" s="4" t="s">
        <v>5</v>
      </c>
      <c r="E90" s="1" t="s">
        <v>6</v>
      </c>
      <c r="F90" s="7">
        <v>0.372</v>
      </c>
      <c r="G90" s="7">
        <v>0</v>
      </c>
      <c r="H90" s="7">
        <v>0.372</v>
      </c>
    </row>
    <row r="91" spans="1:8" ht="28.8" x14ac:dyDescent="0.3">
      <c r="A91" s="5">
        <v>213113</v>
      </c>
      <c r="B91" s="5" t="s">
        <v>101</v>
      </c>
      <c r="C91" s="6" t="s">
        <v>102</v>
      </c>
      <c r="D91" s="4" t="s">
        <v>5</v>
      </c>
      <c r="E91" s="1" t="s">
        <v>6</v>
      </c>
      <c r="F91" s="7">
        <v>0.372</v>
      </c>
      <c r="G91" s="7">
        <v>0</v>
      </c>
      <c r="H91" s="7">
        <v>0.372</v>
      </c>
    </row>
    <row r="92" spans="1:8" ht="28.8" x14ac:dyDescent="0.3">
      <c r="A92" s="5">
        <v>213114</v>
      </c>
      <c r="B92" s="5" t="s">
        <v>101</v>
      </c>
      <c r="C92" s="6" t="s">
        <v>103</v>
      </c>
      <c r="D92" s="4" t="s">
        <v>5</v>
      </c>
      <c r="E92" s="1" t="s">
        <v>6</v>
      </c>
      <c r="F92" s="7">
        <v>0.372</v>
      </c>
      <c r="G92" s="7">
        <v>0</v>
      </c>
      <c r="H92" s="7">
        <v>0.372</v>
      </c>
    </row>
    <row r="93" spans="1:8" ht="28.8" x14ac:dyDescent="0.3">
      <c r="A93" s="5">
        <v>213115</v>
      </c>
      <c r="B93" s="5" t="s">
        <v>101</v>
      </c>
      <c r="C93" s="6" t="s">
        <v>104</v>
      </c>
      <c r="D93" s="4" t="s">
        <v>5</v>
      </c>
      <c r="E93" s="1" t="s">
        <v>6</v>
      </c>
      <c r="F93" s="7">
        <v>0.372</v>
      </c>
      <c r="G93" s="7">
        <v>0</v>
      </c>
      <c r="H93" s="7">
        <v>0.372</v>
      </c>
    </row>
    <row r="94" spans="1:8" ht="28.8" x14ac:dyDescent="0.3">
      <c r="A94" s="5">
        <v>221210</v>
      </c>
      <c r="B94" s="5">
        <v>221200</v>
      </c>
      <c r="C94" s="6" t="s">
        <v>105</v>
      </c>
      <c r="D94" s="4" t="s">
        <v>5</v>
      </c>
      <c r="E94" s="1" t="s">
        <v>6</v>
      </c>
      <c r="F94" s="7">
        <v>0.53200000000000003</v>
      </c>
      <c r="G94" s="7">
        <v>0</v>
      </c>
      <c r="H94" s="7">
        <v>0.53200000000000003</v>
      </c>
    </row>
    <row r="95" spans="1:8" ht="28.8" x14ac:dyDescent="0.3">
      <c r="A95" s="5">
        <v>221310</v>
      </c>
      <c r="B95" s="5">
        <v>221300</v>
      </c>
      <c r="C95" s="6" t="s">
        <v>106</v>
      </c>
      <c r="D95" s="4" t="s">
        <v>5</v>
      </c>
      <c r="E95" s="1" t="s">
        <v>6</v>
      </c>
      <c r="F95" s="7">
        <v>0.57799999999999996</v>
      </c>
      <c r="G95" s="7">
        <v>0</v>
      </c>
      <c r="H95" s="7">
        <v>0.57799999999999996</v>
      </c>
    </row>
    <row r="96" spans="1:8" ht="28.8" x14ac:dyDescent="0.3">
      <c r="A96" s="5">
        <v>221320</v>
      </c>
      <c r="B96" s="5">
        <v>221300</v>
      </c>
      <c r="C96" s="6" t="s">
        <v>107</v>
      </c>
      <c r="D96" s="4" t="s">
        <v>5</v>
      </c>
      <c r="E96" s="1" t="s">
        <v>6</v>
      </c>
      <c r="F96" s="7">
        <v>0.57799999999999996</v>
      </c>
      <c r="G96" s="7">
        <v>0</v>
      </c>
      <c r="H96" s="7">
        <v>0.57799999999999996</v>
      </c>
    </row>
    <row r="97" spans="1:8" ht="28.8" x14ac:dyDescent="0.3">
      <c r="A97" s="5">
        <v>221330</v>
      </c>
      <c r="B97" s="5">
        <v>221300</v>
      </c>
      <c r="C97" s="6" t="s">
        <v>108</v>
      </c>
      <c r="D97" s="4" t="s">
        <v>5</v>
      </c>
      <c r="E97" s="1" t="s">
        <v>6</v>
      </c>
      <c r="F97" s="7">
        <v>0.57799999999999996</v>
      </c>
      <c r="G97" s="7">
        <v>0</v>
      </c>
      <c r="H97" s="7">
        <v>0.57799999999999996</v>
      </c>
    </row>
    <row r="98" spans="1:8" ht="28.8" x14ac:dyDescent="0.3">
      <c r="A98" s="5">
        <v>236115</v>
      </c>
      <c r="B98" s="5">
        <v>233411</v>
      </c>
      <c r="C98" s="6" t="s">
        <v>109</v>
      </c>
      <c r="D98" s="4" t="s">
        <v>5</v>
      </c>
      <c r="E98" s="1" t="s">
        <v>6</v>
      </c>
      <c r="F98" s="7">
        <v>0.19400000000000001</v>
      </c>
      <c r="G98" s="7">
        <v>0</v>
      </c>
      <c r="H98" s="7">
        <v>0.19400000000000001</v>
      </c>
    </row>
    <row r="99" spans="1:8" ht="28.8" x14ac:dyDescent="0.3">
      <c r="A99" s="5">
        <v>236116</v>
      </c>
      <c r="B99" s="5">
        <v>233412</v>
      </c>
      <c r="C99" s="6" t="s">
        <v>110</v>
      </c>
      <c r="D99" s="4" t="s">
        <v>5</v>
      </c>
      <c r="E99" s="1" t="s">
        <v>6</v>
      </c>
      <c r="F99" s="7">
        <v>0.221</v>
      </c>
      <c r="G99" s="7">
        <v>0</v>
      </c>
      <c r="H99" s="7">
        <v>0.221</v>
      </c>
    </row>
    <row r="100" spans="1:8" ht="28.8" x14ac:dyDescent="0.3">
      <c r="A100" s="5">
        <v>236117</v>
      </c>
      <c r="B100" s="5" t="s">
        <v>112</v>
      </c>
      <c r="C100" s="6" t="s">
        <v>111</v>
      </c>
      <c r="D100" s="4" t="s">
        <v>5</v>
      </c>
      <c r="E100" s="1" t="s">
        <v>6</v>
      </c>
      <c r="F100" s="7">
        <v>0.216</v>
      </c>
      <c r="G100" s="7">
        <v>0</v>
      </c>
      <c r="H100" s="7">
        <v>0.216</v>
      </c>
    </row>
    <row r="101" spans="1:8" ht="28.8" x14ac:dyDescent="0.3">
      <c r="A101" s="5">
        <v>236118</v>
      </c>
      <c r="B101" s="5">
        <v>230302</v>
      </c>
      <c r="C101" s="6" t="s">
        <v>113</v>
      </c>
      <c r="D101" s="4" t="s">
        <v>5</v>
      </c>
      <c r="E101" s="1" t="s">
        <v>6</v>
      </c>
      <c r="F101" s="7">
        <v>0.21099999999999999</v>
      </c>
      <c r="G101" s="7">
        <v>0</v>
      </c>
      <c r="H101" s="7">
        <v>0.21099999999999999</v>
      </c>
    </row>
    <row r="102" spans="1:8" ht="28.8" x14ac:dyDescent="0.3">
      <c r="A102" s="5">
        <v>236210</v>
      </c>
      <c r="B102" s="5" t="s">
        <v>115</v>
      </c>
      <c r="C102" s="6" t="s">
        <v>114</v>
      </c>
      <c r="D102" s="4" t="s">
        <v>5</v>
      </c>
      <c r="E102" s="1" t="s">
        <v>6</v>
      </c>
      <c r="F102" s="7">
        <v>0.23899999999999999</v>
      </c>
      <c r="G102" s="7">
        <v>0</v>
      </c>
      <c r="H102" s="7">
        <v>0.23899999999999999</v>
      </c>
    </row>
    <row r="103" spans="1:8" ht="28.8" x14ac:dyDescent="0.3">
      <c r="A103" s="5">
        <v>236220</v>
      </c>
      <c r="B103" s="5" t="s">
        <v>117</v>
      </c>
      <c r="C103" s="6" t="s">
        <v>116</v>
      </c>
      <c r="D103" s="4" t="s">
        <v>5</v>
      </c>
      <c r="E103" s="1" t="s">
        <v>6</v>
      </c>
      <c r="F103" s="7">
        <v>0.224</v>
      </c>
      <c r="G103" s="7">
        <v>0</v>
      </c>
      <c r="H103" s="7">
        <v>0.224</v>
      </c>
    </row>
    <row r="104" spans="1:8" ht="28.8" x14ac:dyDescent="0.3">
      <c r="A104" s="5">
        <v>237110</v>
      </c>
      <c r="B104" s="5">
        <v>233240</v>
      </c>
      <c r="C104" s="6" t="s">
        <v>118</v>
      </c>
      <c r="D104" s="4" t="s">
        <v>5</v>
      </c>
      <c r="E104" s="1" t="s">
        <v>6</v>
      </c>
      <c r="F104" s="7">
        <v>0.27700000000000002</v>
      </c>
      <c r="G104" s="7">
        <v>0</v>
      </c>
      <c r="H104" s="7">
        <v>0.27700000000000002</v>
      </c>
    </row>
    <row r="105" spans="1:8" ht="28.8" x14ac:dyDescent="0.3">
      <c r="A105" s="5">
        <v>237120</v>
      </c>
      <c r="B105" s="5">
        <v>233240</v>
      </c>
      <c r="C105" s="6" t="s">
        <v>119</v>
      </c>
      <c r="D105" s="4" t="s">
        <v>5</v>
      </c>
      <c r="E105" s="1" t="s">
        <v>6</v>
      </c>
      <c r="F105" s="7">
        <v>0.27700000000000002</v>
      </c>
      <c r="G105" s="7">
        <v>0</v>
      </c>
      <c r="H105" s="7">
        <v>0.27700000000000002</v>
      </c>
    </row>
    <row r="106" spans="1:8" ht="28.8" x14ac:dyDescent="0.3">
      <c r="A106" s="5">
        <v>237130</v>
      </c>
      <c r="B106" s="5">
        <v>233240</v>
      </c>
      <c r="C106" s="6" t="s">
        <v>120</v>
      </c>
      <c r="D106" s="4" t="s">
        <v>5</v>
      </c>
      <c r="E106" s="1" t="s">
        <v>6</v>
      </c>
      <c r="F106" s="7">
        <v>0.27700000000000002</v>
      </c>
      <c r="G106" s="7">
        <v>0</v>
      </c>
      <c r="H106" s="7">
        <v>0.27700000000000002</v>
      </c>
    </row>
    <row r="107" spans="1:8" ht="28.8" x14ac:dyDescent="0.3">
      <c r="A107" s="5">
        <v>237210</v>
      </c>
      <c r="B107" s="5" t="s">
        <v>122</v>
      </c>
      <c r="C107" s="6" t="s">
        <v>121</v>
      </c>
      <c r="D107" s="4" t="s">
        <v>5</v>
      </c>
      <c r="E107" s="1" t="s">
        <v>6</v>
      </c>
      <c r="F107" s="7">
        <v>0.221</v>
      </c>
      <c r="G107" s="7">
        <v>0</v>
      </c>
      <c r="H107" s="7">
        <v>0.221</v>
      </c>
    </row>
    <row r="108" spans="1:8" ht="28.8" x14ac:dyDescent="0.3">
      <c r="A108" s="5">
        <v>237310</v>
      </c>
      <c r="B108" s="5" t="s">
        <v>124</v>
      </c>
      <c r="C108" s="6" t="s">
        <v>123</v>
      </c>
      <c r="D108" s="4" t="s">
        <v>5</v>
      </c>
      <c r="E108" s="1" t="s">
        <v>6</v>
      </c>
      <c r="F108" s="7">
        <v>0.255</v>
      </c>
      <c r="G108" s="7">
        <v>0</v>
      </c>
      <c r="H108" s="7">
        <v>0.255</v>
      </c>
    </row>
    <row r="109" spans="1:8" ht="28.8" x14ac:dyDescent="0.3">
      <c r="A109" s="5">
        <v>237990</v>
      </c>
      <c r="B109" s="5" t="s">
        <v>126</v>
      </c>
      <c r="C109" s="6" t="s">
        <v>125</v>
      </c>
      <c r="D109" s="4" t="s">
        <v>5</v>
      </c>
      <c r="E109" s="1" t="s">
        <v>6</v>
      </c>
      <c r="F109" s="7">
        <v>0.20200000000000001</v>
      </c>
      <c r="G109" s="7">
        <v>0</v>
      </c>
      <c r="H109" s="7">
        <v>0.20200000000000001</v>
      </c>
    </row>
    <row r="110" spans="1:8" ht="28.8" x14ac:dyDescent="0.3">
      <c r="A110" s="5">
        <v>238110</v>
      </c>
      <c r="B110" s="5" t="s">
        <v>128</v>
      </c>
      <c r="C110" s="6" t="s">
        <v>127</v>
      </c>
      <c r="D110" s="4" t="s">
        <v>5</v>
      </c>
      <c r="E110" s="1" t="s">
        <v>6</v>
      </c>
      <c r="F110" s="7">
        <v>0.221</v>
      </c>
      <c r="G110" s="7">
        <v>0</v>
      </c>
      <c r="H110" s="7">
        <v>0.221</v>
      </c>
    </row>
    <row r="111" spans="1:8" ht="28.8" x14ac:dyDescent="0.3">
      <c r="A111" s="5">
        <v>238120</v>
      </c>
      <c r="B111" s="5" t="s">
        <v>128</v>
      </c>
      <c r="C111" s="6" t="s">
        <v>129</v>
      </c>
      <c r="D111" s="4" t="s">
        <v>5</v>
      </c>
      <c r="E111" s="1" t="s">
        <v>6</v>
      </c>
      <c r="F111" s="7">
        <v>0.221</v>
      </c>
      <c r="G111" s="7">
        <v>0</v>
      </c>
      <c r="H111" s="7">
        <v>0.221</v>
      </c>
    </row>
    <row r="112" spans="1:8" ht="28.8" x14ac:dyDescent="0.3">
      <c r="A112" s="5">
        <v>238130</v>
      </c>
      <c r="B112" s="5" t="s">
        <v>128</v>
      </c>
      <c r="C112" s="6" t="s">
        <v>130</v>
      </c>
      <c r="D112" s="4" t="s">
        <v>5</v>
      </c>
      <c r="E112" s="1" t="s">
        <v>6</v>
      </c>
      <c r="F112" s="7">
        <v>0.221</v>
      </c>
      <c r="G112" s="7">
        <v>0</v>
      </c>
      <c r="H112" s="7">
        <v>0.221</v>
      </c>
    </row>
    <row r="113" spans="1:8" ht="28.8" x14ac:dyDescent="0.3">
      <c r="A113" s="5">
        <v>238140</v>
      </c>
      <c r="B113" s="5" t="s">
        <v>128</v>
      </c>
      <c r="C113" s="6" t="s">
        <v>131</v>
      </c>
      <c r="D113" s="4" t="s">
        <v>5</v>
      </c>
      <c r="E113" s="1" t="s">
        <v>6</v>
      </c>
      <c r="F113" s="7">
        <v>0.221</v>
      </c>
      <c r="G113" s="7">
        <v>0</v>
      </c>
      <c r="H113" s="7">
        <v>0.221</v>
      </c>
    </row>
    <row r="114" spans="1:8" ht="28.8" x14ac:dyDescent="0.3">
      <c r="A114" s="5">
        <v>238150</v>
      </c>
      <c r="B114" s="5" t="s">
        <v>128</v>
      </c>
      <c r="C114" s="6" t="s">
        <v>132</v>
      </c>
      <c r="D114" s="4" t="s">
        <v>5</v>
      </c>
      <c r="E114" s="1" t="s">
        <v>6</v>
      </c>
      <c r="F114" s="7">
        <v>0.221</v>
      </c>
      <c r="G114" s="7">
        <v>0</v>
      </c>
      <c r="H114" s="7">
        <v>0.221</v>
      </c>
    </row>
    <row r="115" spans="1:8" ht="28.8" x14ac:dyDescent="0.3">
      <c r="A115" s="5">
        <v>238160</v>
      </c>
      <c r="B115" s="5" t="s">
        <v>128</v>
      </c>
      <c r="C115" s="6" t="s">
        <v>133</v>
      </c>
      <c r="D115" s="4" t="s">
        <v>5</v>
      </c>
      <c r="E115" s="1" t="s">
        <v>6</v>
      </c>
      <c r="F115" s="7">
        <v>0.221</v>
      </c>
      <c r="G115" s="7">
        <v>0</v>
      </c>
      <c r="H115" s="7">
        <v>0.221</v>
      </c>
    </row>
    <row r="116" spans="1:8" ht="28.8" x14ac:dyDescent="0.3">
      <c r="A116" s="5">
        <v>238170</v>
      </c>
      <c r="B116" s="5" t="s">
        <v>128</v>
      </c>
      <c r="C116" s="6" t="s">
        <v>134</v>
      </c>
      <c r="D116" s="4" t="s">
        <v>5</v>
      </c>
      <c r="E116" s="1" t="s">
        <v>6</v>
      </c>
      <c r="F116" s="7">
        <v>0.221</v>
      </c>
      <c r="G116" s="7">
        <v>0</v>
      </c>
      <c r="H116" s="7">
        <v>0.221</v>
      </c>
    </row>
    <row r="117" spans="1:8" ht="28.8" x14ac:dyDescent="0.3">
      <c r="A117" s="5">
        <v>238190</v>
      </c>
      <c r="B117" s="5" t="s">
        <v>128</v>
      </c>
      <c r="C117" s="6" t="s">
        <v>135</v>
      </c>
      <c r="D117" s="4" t="s">
        <v>5</v>
      </c>
      <c r="E117" s="1" t="s">
        <v>6</v>
      </c>
      <c r="F117" s="7">
        <v>0.221</v>
      </c>
      <c r="G117" s="7">
        <v>0</v>
      </c>
      <c r="H117" s="7">
        <v>0.221</v>
      </c>
    </row>
    <row r="118" spans="1:8" ht="28.8" x14ac:dyDescent="0.3">
      <c r="A118" s="5">
        <v>238210</v>
      </c>
      <c r="B118" s="5" t="s">
        <v>128</v>
      </c>
      <c r="C118" s="6" t="s">
        <v>136</v>
      </c>
      <c r="D118" s="4" t="s">
        <v>5</v>
      </c>
      <c r="E118" s="1" t="s">
        <v>6</v>
      </c>
      <c r="F118" s="7">
        <v>0.221</v>
      </c>
      <c r="G118" s="7">
        <v>0</v>
      </c>
      <c r="H118" s="7">
        <v>0.221</v>
      </c>
    </row>
    <row r="119" spans="1:8" ht="28.8" x14ac:dyDescent="0.3">
      <c r="A119" s="5">
        <v>238220</v>
      </c>
      <c r="B119" s="5" t="s">
        <v>128</v>
      </c>
      <c r="C119" s="6" t="s">
        <v>137</v>
      </c>
      <c r="D119" s="4" t="s">
        <v>5</v>
      </c>
      <c r="E119" s="1" t="s">
        <v>6</v>
      </c>
      <c r="F119" s="7">
        <v>0.221</v>
      </c>
      <c r="G119" s="7">
        <v>0</v>
      </c>
      <c r="H119" s="7">
        <v>0.221</v>
      </c>
    </row>
    <row r="120" spans="1:8" ht="28.8" x14ac:dyDescent="0.3">
      <c r="A120" s="5">
        <v>238290</v>
      </c>
      <c r="B120" s="5" t="s">
        <v>128</v>
      </c>
      <c r="C120" s="6" t="s">
        <v>138</v>
      </c>
      <c r="D120" s="4" t="s">
        <v>5</v>
      </c>
      <c r="E120" s="1" t="s">
        <v>6</v>
      </c>
      <c r="F120" s="7">
        <v>0.221</v>
      </c>
      <c r="G120" s="7">
        <v>0</v>
      </c>
      <c r="H120" s="7">
        <v>0.221</v>
      </c>
    </row>
    <row r="121" spans="1:8" ht="28.8" x14ac:dyDescent="0.3">
      <c r="A121" s="5">
        <v>238310</v>
      </c>
      <c r="B121" s="5" t="s">
        <v>128</v>
      </c>
      <c r="C121" s="6" t="s">
        <v>139</v>
      </c>
      <c r="D121" s="4" t="s">
        <v>5</v>
      </c>
      <c r="E121" s="1" t="s">
        <v>6</v>
      </c>
      <c r="F121" s="7">
        <v>0.221</v>
      </c>
      <c r="G121" s="7">
        <v>0</v>
      </c>
      <c r="H121" s="7">
        <v>0.221</v>
      </c>
    </row>
    <row r="122" spans="1:8" ht="28.8" x14ac:dyDescent="0.3">
      <c r="A122" s="5">
        <v>238320</v>
      </c>
      <c r="B122" s="5" t="s">
        <v>128</v>
      </c>
      <c r="C122" s="6" t="s">
        <v>140</v>
      </c>
      <c r="D122" s="4" t="s">
        <v>5</v>
      </c>
      <c r="E122" s="1" t="s">
        <v>6</v>
      </c>
      <c r="F122" s="7">
        <v>0.221</v>
      </c>
      <c r="G122" s="7">
        <v>0</v>
      </c>
      <c r="H122" s="7">
        <v>0.221</v>
      </c>
    </row>
    <row r="123" spans="1:8" ht="28.8" x14ac:dyDescent="0.3">
      <c r="A123" s="5">
        <v>238330</v>
      </c>
      <c r="B123" s="5" t="s">
        <v>128</v>
      </c>
      <c r="C123" s="6" t="s">
        <v>141</v>
      </c>
      <c r="D123" s="4" t="s">
        <v>5</v>
      </c>
      <c r="E123" s="1" t="s">
        <v>6</v>
      </c>
      <c r="F123" s="7">
        <v>0.221</v>
      </c>
      <c r="G123" s="7">
        <v>0</v>
      </c>
      <c r="H123" s="7">
        <v>0.221</v>
      </c>
    </row>
    <row r="124" spans="1:8" ht="28.8" x14ac:dyDescent="0.3">
      <c r="A124" s="5">
        <v>238340</v>
      </c>
      <c r="B124" s="5" t="s">
        <v>128</v>
      </c>
      <c r="C124" s="6" t="s">
        <v>142</v>
      </c>
      <c r="D124" s="4" t="s">
        <v>5</v>
      </c>
      <c r="E124" s="1" t="s">
        <v>6</v>
      </c>
      <c r="F124" s="7">
        <v>0.221</v>
      </c>
      <c r="G124" s="7">
        <v>0</v>
      </c>
      <c r="H124" s="7">
        <v>0.221</v>
      </c>
    </row>
    <row r="125" spans="1:8" ht="28.8" x14ac:dyDescent="0.3">
      <c r="A125" s="5">
        <v>238350</v>
      </c>
      <c r="B125" s="5" t="s">
        <v>128</v>
      </c>
      <c r="C125" s="6" t="s">
        <v>143</v>
      </c>
      <c r="D125" s="4" t="s">
        <v>5</v>
      </c>
      <c r="E125" s="1" t="s">
        <v>6</v>
      </c>
      <c r="F125" s="7">
        <v>0.221</v>
      </c>
      <c r="G125" s="7">
        <v>0</v>
      </c>
      <c r="H125" s="7">
        <v>0.221</v>
      </c>
    </row>
    <row r="126" spans="1:8" ht="28.8" x14ac:dyDescent="0.3">
      <c r="A126" s="5">
        <v>238390</v>
      </c>
      <c r="B126" s="5" t="s">
        <v>128</v>
      </c>
      <c r="C126" s="6" t="s">
        <v>144</v>
      </c>
      <c r="D126" s="4" t="s">
        <v>5</v>
      </c>
      <c r="E126" s="1" t="s">
        <v>6</v>
      </c>
      <c r="F126" s="7">
        <v>0.221</v>
      </c>
      <c r="G126" s="7">
        <v>0</v>
      </c>
      <c r="H126" s="7">
        <v>0.221</v>
      </c>
    </row>
    <row r="127" spans="1:8" ht="28.8" x14ac:dyDescent="0.3">
      <c r="A127" s="5">
        <v>238910</v>
      </c>
      <c r="B127" s="5" t="s">
        <v>128</v>
      </c>
      <c r="C127" s="6" t="s">
        <v>145</v>
      </c>
      <c r="D127" s="4" t="s">
        <v>5</v>
      </c>
      <c r="E127" s="1" t="s">
        <v>6</v>
      </c>
      <c r="F127" s="7">
        <v>0.221</v>
      </c>
      <c r="G127" s="7">
        <v>0</v>
      </c>
      <c r="H127" s="7">
        <v>0.221</v>
      </c>
    </row>
    <row r="128" spans="1:8" ht="28.8" x14ac:dyDescent="0.3">
      <c r="A128" s="5">
        <v>238990</v>
      </c>
      <c r="B128" s="5" t="s">
        <v>128</v>
      </c>
      <c r="C128" s="6" t="s">
        <v>146</v>
      </c>
      <c r="D128" s="4" t="s">
        <v>5</v>
      </c>
      <c r="E128" s="1" t="s">
        <v>6</v>
      </c>
      <c r="F128" s="7">
        <v>0.221</v>
      </c>
      <c r="G128" s="7">
        <v>0</v>
      </c>
      <c r="H128" s="7">
        <v>0.221</v>
      </c>
    </row>
    <row r="129" spans="1:8" ht="28.8" x14ac:dyDescent="0.3">
      <c r="A129" s="5">
        <v>311111</v>
      </c>
      <c r="B129" s="5">
        <v>311111</v>
      </c>
      <c r="C129" s="6" t="s">
        <v>147</v>
      </c>
      <c r="D129" s="4" t="s">
        <v>5</v>
      </c>
      <c r="E129" s="1" t="s">
        <v>6</v>
      </c>
      <c r="F129" s="7">
        <v>0.28199999999999997</v>
      </c>
      <c r="G129" s="7">
        <v>5.0999999999999997E-2</v>
      </c>
      <c r="H129" s="7">
        <v>0.33300000000000002</v>
      </c>
    </row>
    <row r="130" spans="1:8" ht="28.8" x14ac:dyDescent="0.3">
      <c r="A130" s="5">
        <v>311119</v>
      </c>
      <c r="B130" s="5">
        <v>311119</v>
      </c>
      <c r="C130" s="6" t="s">
        <v>148</v>
      </c>
      <c r="D130" s="4" t="s">
        <v>5</v>
      </c>
      <c r="E130" s="1" t="s">
        <v>6</v>
      </c>
      <c r="F130" s="7">
        <v>0.42799999999999999</v>
      </c>
      <c r="G130" s="7">
        <v>3.1E-2</v>
      </c>
      <c r="H130" s="7">
        <v>0.45900000000000002</v>
      </c>
    </row>
    <row r="131" spans="1:8" ht="28.8" x14ac:dyDescent="0.3">
      <c r="A131" s="5">
        <v>311211</v>
      </c>
      <c r="B131" s="5">
        <v>311210</v>
      </c>
      <c r="C131" s="6" t="s">
        <v>149</v>
      </c>
      <c r="D131" s="4" t="s">
        <v>5</v>
      </c>
      <c r="E131" s="1" t="s">
        <v>6</v>
      </c>
      <c r="F131" s="7">
        <v>0.73199999999999998</v>
      </c>
      <c r="G131" s="7">
        <v>3.6999999999999998E-2</v>
      </c>
      <c r="H131" s="7">
        <v>0.76900000000000002</v>
      </c>
    </row>
    <row r="132" spans="1:8" ht="28.8" x14ac:dyDescent="0.3">
      <c r="A132" s="5">
        <v>311212</v>
      </c>
      <c r="B132" s="5">
        <v>311210</v>
      </c>
      <c r="C132" s="6" t="s">
        <v>150</v>
      </c>
      <c r="D132" s="4" t="s">
        <v>5</v>
      </c>
      <c r="E132" s="1" t="s">
        <v>6</v>
      </c>
      <c r="F132" s="7">
        <v>0.73199999999999998</v>
      </c>
      <c r="G132" s="7">
        <v>3.6999999999999998E-2</v>
      </c>
      <c r="H132" s="7">
        <v>0.76900000000000002</v>
      </c>
    </row>
    <row r="133" spans="1:8" ht="28.8" x14ac:dyDescent="0.3">
      <c r="A133" s="5">
        <v>311213</v>
      </c>
      <c r="B133" s="5">
        <v>311210</v>
      </c>
      <c r="C133" s="6" t="s">
        <v>151</v>
      </c>
      <c r="D133" s="4" t="s">
        <v>5</v>
      </c>
      <c r="E133" s="1" t="s">
        <v>6</v>
      </c>
      <c r="F133" s="7">
        <v>0.73199999999999998</v>
      </c>
      <c r="G133" s="7">
        <v>3.6999999999999998E-2</v>
      </c>
      <c r="H133" s="7">
        <v>0.76900000000000002</v>
      </c>
    </row>
    <row r="134" spans="1:8" ht="28.8" x14ac:dyDescent="0.3">
      <c r="A134" s="5">
        <v>311221</v>
      </c>
      <c r="B134" s="5">
        <v>311221</v>
      </c>
      <c r="C134" s="6" t="s">
        <v>152</v>
      </c>
      <c r="D134" s="4" t="s">
        <v>5</v>
      </c>
      <c r="E134" s="1" t="s">
        <v>6</v>
      </c>
      <c r="F134" s="7">
        <v>0.95599999999999996</v>
      </c>
      <c r="G134" s="7">
        <v>3.6999999999999998E-2</v>
      </c>
      <c r="H134" s="7">
        <v>0.99299999999999999</v>
      </c>
    </row>
    <row r="135" spans="1:8" ht="28.8" x14ac:dyDescent="0.3">
      <c r="A135" s="5">
        <v>311224</v>
      </c>
      <c r="B135" s="5">
        <v>311224</v>
      </c>
      <c r="C135" s="6" t="s">
        <v>153</v>
      </c>
      <c r="D135" s="4" t="s">
        <v>5</v>
      </c>
      <c r="E135" s="1" t="s">
        <v>6</v>
      </c>
      <c r="F135" s="7">
        <v>0.48099999999999998</v>
      </c>
      <c r="G135" s="7">
        <v>0.03</v>
      </c>
      <c r="H135" s="7">
        <v>0.51100000000000001</v>
      </c>
    </row>
    <row r="136" spans="1:8" ht="28.8" x14ac:dyDescent="0.3">
      <c r="A136" s="5">
        <v>311225</v>
      </c>
      <c r="B136" s="5">
        <v>311225</v>
      </c>
      <c r="C136" s="6" t="s">
        <v>154</v>
      </c>
      <c r="D136" s="4" t="s">
        <v>5</v>
      </c>
      <c r="E136" s="1" t="s">
        <v>6</v>
      </c>
      <c r="F136" s="7">
        <v>0.36</v>
      </c>
      <c r="G136" s="7">
        <v>2.5000000000000001E-2</v>
      </c>
      <c r="H136" s="7">
        <v>0.38500000000000001</v>
      </c>
    </row>
    <row r="137" spans="1:8" ht="28.8" x14ac:dyDescent="0.3">
      <c r="A137" s="5">
        <v>311230</v>
      </c>
      <c r="B137" s="5">
        <v>311230</v>
      </c>
      <c r="C137" s="6" t="s">
        <v>155</v>
      </c>
      <c r="D137" s="4" t="s">
        <v>5</v>
      </c>
      <c r="E137" s="1" t="s">
        <v>6</v>
      </c>
      <c r="F137" s="7">
        <v>0.42299999999999999</v>
      </c>
      <c r="G137" s="7">
        <v>0.05</v>
      </c>
      <c r="H137" s="7">
        <v>0.47299999999999998</v>
      </c>
    </row>
    <row r="138" spans="1:8" ht="28.8" x14ac:dyDescent="0.3">
      <c r="A138" s="5">
        <v>311313</v>
      </c>
      <c r="B138" s="5">
        <v>311300</v>
      </c>
      <c r="C138" s="6" t="s">
        <v>156</v>
      </c>
      <c r="D138" s="4" t="s">
        <v>5</v>
      </c>
      <c r="E138" s="1" t="s">
        <v>6</v>
      </c>
      <c r="F138" s="7">
        <v>0.442</v>
      </c>
      <c r="G138" s="7">
        <v>0.04</v>
      </c>
      <c r="H138" s="7">
        <v>0.48199999999999998</v>
      </c>
    </row>
    <row r="139" spans="1:8" ht="28.8" x14ac:dyDescent="0.3">
      <c r="A139" s="5">
        <v>311314</v>
      </c>
      <c r="B139" s="5">
        <v>311300</v>
      </c>
      <c r="C139" s="6" t="s">
        <v>157</v>
      </c>
      <c r="D139" s="4" t="s">
        <v>5</v>
      </c>
      <c r="E139" s="1" t="s">
        <v>6</v>
      </c>
      <c r="F139" s="7">
        <v>0.442</v>
      </c>
      <c r="G139" s="7">
        <v>0.04</v>
      </c>
      <c r="H139" s="7">
        <v>0.48199999999999998</v>
      </c>
    </row>
    <row r="140" spans="1:8" ht="28.8" x14ac:dyDescent="0.3">
      <c r="A140" s="5">
        <v>311340</v>
      </c>
      <c r="B140" s="5">
        <v>311300</v>
      </c>
      <c r="C140" s="6" t="s">
        <v>158</v>
      </c>
      <c r="D140" s="4" t="s">
        <v>5</v>
      </c>
      <c r="E140" s="1" t="s">
        <v>6</v>
      </c>
      <c r="F140" s="7">
        <v>0.442</v>
      </c>
      <c r="G140" s="7">
        <v>0.04</v>
      </c>
      <c r="H140" s="7">
        <v>0.48199999999999998</v>
      </c>
    </row>
    <row r="141" spans="1:8" ht="28.8" x14ac:dyDescent="0.3">
      <c r="A141" s="5">
        <v>311351</v>
      </c>
      <c r="B141" s="5">
        <v>311300</v>
      </c>
      <c r="C141" s="6" t="s">
        <v>159</v>
      </c>
      <c r="D141" s="4" t="s">
        <v>5</v>
      </c>
      <c r="E141" s="1" t="s">
        <v>6</v>
      </c>
      <c r="F141" s="7">
        <v>0.442</v>
      </c>
      <c r="G141" s="7">
        <v>0.04</v>
      </c>
      <c r="H141" s="7">
        <v>0.48199999999999998</v>
      </c>
    </row>
    <row r="142" spans="1:8" ht="28.8" x14ac:dyDescent="0.3">
      <c r="A142" s="5">
        <v>311352</v>
      </c>
      <c r="B142" s="5">
        <v>311300</v>
      </c>
      <c r="C142" s="6" t="s">
        <v>160</v>
      </c>
      <c r="D142" s="4" t="s">
        <v>5</v>
      </c>
      <c r="E142" s="1" t="s">
        <v>6</v>
      </c>
      <c r="F142" s="7">
        <v>0.442</v>
      </c>
      <c r="G142" s="7">
        <v>0.04</v>
      </c>
      <c r="H142" s="7">
        <v>0.48199999999999998</v>
      </c>
    </row>
    <row r="143" spans="1:8" ht="28.8" x14ac:dyDescent="0.3">
      <c r="A143" s="5">
        <v>311411</v>
      </c>
      <c r="B143" s="5">
        <v>311410</v>
      </c>
      <c r="C143" s="6" t="s">
        <v>161</v>
      </c>
      <c r="D143" s="4" t="s">
        <v>5</v>
      </c>
      <c r="E143" s="1" t="s">
        <v>6</v>
      </c>
      <c r="F143" s="7">
        <v>0.438</v>
      </c>
      <c r="G143" s="7">
        <v>4.7E-2</v>
      </c>
      <c r="H143" s="7">
        <v>0.48499999999999999</v>
      </c>
    </row>
    <row r="144" spans="1:8" ht="28.8" x14ac:dyDescent="0.3">
      <c r="A144" s="5">
        <v>311412</v>
      </c>
      <c r="B144" s="5">
        <v>311410</v>
      </c>
      <c r="C144" s="6" t="s">
        <v>162</v>
      </c>
      <c r="D144" s="4" t="s">
        <v>5</v>
      </c>
      <c r="E144" s="1" t="s">
        <v>6</v>
      </c>
      <c r="F144" s="7">
        <v>0.438</v>
      </c>
      <c r="G144" s="7">
        <v>4.7E-2</v>
      </c>
      <c r="H144" s="7">
        <v>0.48499999999999999</v>
      </c>
    </row>
    <row r="145" spans="1:8" ht="28.8" x14ac:dyDescent="0.3">
      <c r="A145" s="5">
        <v>311421</v>
      </c>
      <c r="B145" s="5">
        <v>311420</v>
      </c>
      <c r="C145" s="6" t="s">
        <v>163</v>
      </c>
      <c r="D145" s="4" t="s">
        <v>5</v>
      </c>
      <c r="E145" s="1" t="s">
        <v>6</v>
      </c>
      <c r="F145" s="7">
        <v>0.34300000000000003</v>
      </c>
      <c r="G145" s="7">
        <v>3.7999999999999999E-2</v>
      </c>
      <c r="H145" s="7">
        <v>0.38100000000000001</v>
      </c>
    </row>
    <row r="146" spans="1:8" ht="28.8" x14ac:dyDescent="0.3">
      <c r="A146" s="5">
        <v>311422</v>
      </c>
      <c r="B146" s="5">
        <v>311420</v>
      </c>
      <c r="C146" s="6" t="s">
        <v>164</v>
      </c>
      <c r="D146" s="4" t="s">
        <v>5</v>
      </c>
      <c r="E146" s="1" t="s">
        <v>6</v>
      </c>
      <c r="F146" s="7">
        <v>0.34300000000000003</v>
      </c>
      <c r="G146" s="7">
        <v>3.7999999999999999E-2</v>
      </c>
      <c r="H146" s="7">
        <v>0.38100000000000001</v>
      </c>
    </row>
    <row r="147" spans="1:8" ht="28.8" x14ac:dyDescent="0.3">
      <c r="A147" s="5">
        <v>311423</v>
      </c>
      <c r="B147" s="5">
        <v>311420</v>
      </c>
      <c r="C147" s="6" t="s">
        <v>165</v>
      </c>
      <c r="D147" s="4" t="s">
        <v>5</v>
      </c>
      <c r="E147" s="1" t="s">
        <v>6</v>
      </c>
      <c r="F147" s="7">
        <v>0.34300000000000003</v>
      </c>
      <c r="G147" s="7">
        <v>3.7999999999999999E-2</v>
      </c>
      <c r="H147" s="7">
        <v>0.38100000000000001</v>
      </c>
    </row>
    <row r="148" spans="1:8" ht="28.8" x14ac:dyDescent="0.3">
      <c r="A148" s="5">
        <v>311511</v>
      </c>
      <c r="B148" s="5" t="s">
        <v>167</v>
      </c>
      <c r="C148" s="6" t="s">
        <v>166</v>
      </c>
      <c r="D148" s="4" t="s">
        <v>5</v>
      </c>
      <c r="E148" s="1" t="s">
        <v>6</v>
      </c>
      <c r="F148" s="7">
        <v>0.76600000000000001</v>
      </c>
      <c r="G148" s="7">
        <v>3.6999999999999998E-2</v>
      </c>
      <c r="H148" s="7">
        <v>0.80300000000000005</v>
      </c>
    </row>
    <row r="149" spans="1:8" ht="28.8" x14ac:dyDescent="0.3">
      <c r="A149" s="5">
        <v>311512</v>
      </c>
      <c r="B149" s="5" t="s">
        <v>167</v>
      </c>
      <c r="C149" s="6" t="s">
        <v>168</v>
      </c>
      <c r="D149" s="4" t="s">
        <v>5</v>
      </c>
      <c r="E149" s="1" t="s">
        <v>6</v>
      </c>
      <c r="F149" s="7">
        <v>0.76600000000000001</v>
      </c>
      <c r="G149" s="7">
        <v>3.6999999999999998E-2</v>
      </c>
      <c r="H149" s="7">
        <v>0.80300000000000005</v>
      </c>
    </row>
    <row r="150" spans="1:8" ht="28.8" x14ac:dyDescent="0.3">
      <c r="A150" s="5">
        <v>311513</v>
      </c>
      <c r="B150" s="5">
        <v>311513</v>
      </c>
      <c r="C150" s="6" t="s">
        <v>169</v>
      </c>
      <c r="D150" s="4" t="s">
        <v>5</v>
      </c>
      <c r="E150" s="1" t="s">
        <v>6</v>
      </c>
      <c r="F150" s="7">
        <v>0.93600000000000005</v>
      </c>
      <c r="G150" s="7">
        <v>3.4000000000000002E-2</v>
      </c>
      <c r="H150" s="7">
        <v>0.96899999999999997</v>
      </c>
    </row>
    <row r="151" spans="1:8" ht="28.8" x14ac:dyDescent="0.3">
      <c r="A151" s="5">
        <v>311514</v>
      </c>
      <c r="B151" s="5">
        <v>311514</v>
      </c>
      <c r="C151" s="6" t="s">
        <v>170</v>
      </c>
      <c r="D151" s="4" t="s">
        <v>5</v>
      </c>
      <c r="E151" s="1" t="s">
        <v>6</v>
      </c>
      <c r="F151" s="7">
        <v>0.60499999999999998</v>
      </c>
      <c r="G151" s="7">
        <v>3.6999999999999998E-2</v>
      </c>
      <c r="H151" s="7">
        <v>0.64200000000000002</v>
      </c>
    </row>
    <row r="152" spans="1:8" ht="28.8" x14ac:dyDescent="0.3">
      <c r="A152" s="5">
        <v>311520</v>
      </c>
      <c r="B152" s="5">
        <v>311520</v>
      </c>
      <c r="C152" s="6" t="s">
        <v>171</v>
      </c>
      <c r="D152" s="4" t="s">
        <v>5</v>
      </c>
      <c r="E152" s="1" t="s">
        <v>6</v>
      </c>
      <c r="F152" s="7">
        <v>0.55000000000000004</v>
      </c>
      <c r="G152" s="7">
        <v>0.03</v>
      </c>
      <c r="H152" s="7">
        <v>0.57999999999999996</v>
      </c>
    </row>
    <row r="153" spans="1:8" ht="28.8" x14ac:dyDescent="0.3">
      <c r="A153" s="5">
        <v>311611</v>
      </c>
      <c r="B153" s="5" t="s">
        <v>173</v>
      </c>
      <c r="C153" s="6" t="s">
        <v>172</v>
      </c>
      <c r="D153" s="4" t="s">
        <v>5</v>
      </c>
      <c r="E153" s="1" t="s">
        <v>6</v>
      </c>
      <c r="F153" s="7">
        <v>1.0860000000000001</v>
      </c>
      <c r="G153" s="7">
        <v>3.3000000000000002E-2</v>
      </c>
      <c r="H153" s="7">
        <v>1.1200000000000001</v>
      </c>
    </row>
    <row r="154" spans="1:8" ht="28.8" x14ac:dyDescent="0.3">
      <c r="A154" s="5">
        <v>311612</v>
      </c>
      <c r="B154" s="5" t="s">
        <v>173</v>
      </c>
      <c r="C154" s="6" t="s">
        <v>174</v>
      </c>
      <c r="D154" s="4" t="s">
        <v>5</v>
      </c>
      <c r="E154" s="1" t="s">
        <v>6</v>
      </c>
      <c r="F154" s="7">
        <v>1.0860000000000001</v>
      </c>
      <c r="G154" s="7">
        <v>3.3000000000000002E-2</v>
      </c>
      <c r="H154" s="7">
        <v>1.1200000000000001</v>
      </c>
    </row>
    <row r="155" spans="1:8" ht="28.8" x14ac:dyDescent="0.3">
      <c r="A155" s="5">
        <v>311613</v>
      </c>
      <c r="B155" s="5" t="s">
        <v>173</v>
      </c>
      <c r="C155" s="6" t="s">
        <v>175</v>
      </c>
      <c r="D155" s="4" t="s">
        <v>5</v>
      </c>
      <c r="E155" s="1" t="s">
        <v>6</v>
      </c>
      <c r="F155" s="7">
        <v>1.0860000000000001</v>
      </c>
      <c r="G155" s="7">
        <v>3.3000000000000002E-2</v>
      </c>
      <c r="H155" s="7">
        <v>1.1200000000000001</v>
      </c>
    </row>
    <row r="156" spans="1:8" ht="28.8" x14ac:dyDescent="0.3">
      <c r="A156" s="5">
        <v>311615</v>
      </c>
      <c r="B156" s="5">
        <v>311615</v>
      </c>
      <c r="C156" s="6" t="s">
        <v>176</v>
      </c>
      <c r="D156" s="4" t="s">
        <v>5</v>
      </c>
      <c r="E156" s="1" t="s">
        <v>6</v>
      </c>
      <c r="F156" s="7">
        <v>0.36099999999999999</v>
      </c>
      <c r="G156" s="7">
        <v>3.1E-2</v>
      </c>
      <c r="H156" s="7">
        <v>0.39100000000000001</v>
      </c>
    </row>
    <row r="157" spans="1:8" ht="28.8" x14ac:dyDescent="0.3">
      <c r="A157" s="5">
        <v>311710</v>
      </c>
      <c r="B157" s="5">
        <v>311700</v>
      </c>
      <c r="C157" s="6" t="s">
        <v>177</v>
      </c>
      <c r="D157" s="4" t="s">
        <v>5</v>
      </c>
      <c r="E157" s="1" t="s">
        <v>6</v>
      </c>
      <c r="F157" s="7">
        <v>0.23899999999999999</v>
      </c>
      <c r="G157" s="7">
        <v>2.7E-2</v>
      </c>
      <c r="H157" s="7">
        <v>0.26600000000000001</v>
      </c>
    </row>
    <row r="158" spans="1:8" ht="28.8" x14ac:dyDescent="0.3">
      <c r="A158" s="5">
        <v>311811</v>
      </c>
      <c r="B158" s="5">
        <v>311810</v>
      </c>
      <c r="C158" s="6" t="s">
        <v>178</v>
      </c>
      <c r="D158" s="4" t="s">
        <v>5</v>
      </c>
      <c r="E158" s="1" t="s">
        <v>6</v>
      </c>
      <c r="F158" s="7">
        <v>0.21299999999999999</v>
      </c>
      <c r="G158" s="7">
        <v>0.04</v>
      </c>
      <c r="H158" s="7">
        <v>0.253</v>
      </c>
    </row>
    <row r="159" spans="1:8" ht="28.8" x14ac:dyDescent="0.3">
      <c r="A159" s="5">
        <v>311812</v>
      </c>
      <c r="B159" s="5">
        <v>311810</v>
      </c>
      <c r="C159" s="6" t="s">
        <v>179</v>
      </c>
      <c r="D159" s="4" t="s">
        <v>5</v>
      </c>
      <c r="E159" s="1" t="s">
        <v>6</v>
      </c>
      <c r="F159" s="7">
        <v>0.21299999999999999</v>
      </c>
      <c r="G159" s="7">
        <v>0.04</v>
      </c>
      <c r="H159" s="7">
        <v>0.253</v>
      </c>
    </row>
    <row r="160" spans="1:8" ht="28.8" x14ac:dyDescent="0.3">
      <c r="A160" s="5">
        <v>311813</v>
      </c>
      <c r="B160" s="5">
        <v>311810</v>
      </c>
      <c r="C160" s="6" t="s">
        <v>180</v>
      </c>
      <c r="D160" s="4" t="s">
        <v>5</v>
      </c>
      <c r="E160" s="1" t="s">
        <v>6</v>
      </c>
      <c r="F160" s="7">
        <v>0.21299999999999999</v>
      </c>
      <c r="G160" s="7">
        <v>0.04</v>
      </c>
      <c r="H160" s="7">
        <v>0.253</v>
      </c>
    </row>
    <row r="161" spans="1:8" ht="28.8" x14ac:dyDescent="0.3">
      <c r="A161" s="5">
        <v>311821</v>
      </c>
      <c r="B161" s="5" t="s">
        <v>182</v>
      </c>
      <c r="C161" s="6" t="s">
        <v>181</v>
      </c>
      <c r="D161" s="4" t="s">
        <v>5</v>
      </c>
      <c r="E161" s="1" t="s">
        <v>6</v>
      </c>
      <c r="F161" s="7">
        <v>0.31</v>
      </c>
      <c r="G161" s="7">
        <v>4.7E-2</v>
      </c>
      <c r="H161" s="7">
        <v>0.35599999999999998</v>
      </c>
    </row>
    <row r="162" spans="1:8" ht="28.8" x14ac:dyDescent="0.3">
      <c r="A162" s="5">
        <v>311824</v>
      </c>
      <c r="B162" s="5" t="s">
        <v>182</v>
      </c>
      <c r="C162" s="6" t="s">
        <v>183</v>
      </c>
      <c r="D162" s="4" t="s">
        <v>5</v>
      </c>
      <c r="E162" s="1" t="s">
        <v>6</v>
      </c>
      <c r="F162" s="7">
        <v>0.31</v>
      </c>
      <c r="G162" s="7">
        <v>4.7E-2</v>
      </c>
      <c r="H162" s="7">
        <v>0.35599999999999998</v>
      </c>
    </row>
    <row r="163" spans="1:8" ht="28.8" x14ac:dyDescent="0.3">
      <c r="A163" s="5">
        <v>311830</v>
      </c>
      <c r="B163" s="5" t="s">
        <v>182</v>
      </c>
      <c r="C163" s="6" t="s">
        <v>184</v>
      </c>
      <c r="D163" s="4" t="s">
        <v>5</v>
      </c>
      <c r="E163" s="1" t="s">
        <v>6</v>
      </c>
      <c r="F163" s="7">
        <v>0.31</v>
      </c>
      <c r="G163" s="7">
        <v>4.7E-2</v>
      </c>
      <c r="H163" s="7">
        <v>0.35599999999999998</v>
      </c>
    </row>
    <row r="164" spans="1:8" ht="28.8" x14ac:dyDescent="0.3">
      <c r="A164" s="5">
        <v>311911</v>
      </c>
      <c r="B164" s="5">
        <v>311910</v>
      </c>
      <c r="C164" s="6" t="s">
        <v>185</v>
      </c>
      <c r="D164" s="4" t="s">
        <v>5</v>
      </c>
      <c r="E164" s="1" t="s">
        <v>6</v>
      </c>
      <c r="F164" s="7">
        <v>0.32900000000000001</v>
      </c>
      <c r="G164" s="7">
        <v>4.3999999999999997E-2</v>
      </c>
      <c r="H164" s="7">
        <v>0.372</v>
      </c>
    </row>
    <row r="165" spans="1:8" ht="28.8" x14ac:dyDescent="0.3">
      <c r="A165" s="5">
        <v>311919</v>
      </c>
      <c r="B165" s="5">
        <v>311910</v>
      </c>
      <c r="C165" s="6" t="s">
        <v>186</v>
      </c>
      <c r="D165" s="4" t="s">
        <v>5</v>
      </c>
      <c r="E165" s="1" t="s">
        <v>6</v>
      </c>
      <c r="F165" s="7">
        <v>0.32900000000000001</v>
      </c>
      <c r="G165" s="7">
        <v>4.3999999999999997E-2</v>
      </c>
      <c r="H165" s="7">
        <v>0.372</v>
      </c>
    </row>
    <row r="166" spans="1:8" ht="28.8" x14ac:dyDescent="0.3">
      <c r="A166" s="5">
        <v>311920</v>
      </c>
      <c r="B166" s="5">
        <v>311920</v>
      </c>
      <c r="C166" s="6" t="s">
        <v>187</v>
      </c>
      <c r="D166" s="4" t="s">
        <v>5</v>
      </c>
      <c r="E166" s="1" t="s">
        <v>6</v>
      </c>
      <c r="F166" s="7">
        <v>0.313</v>
      </c>
      <c r="G166" s="7">
        <v>0.04</v>
      </c>
      <c r="H166" s="7">
        <v>0.35299999999999998</v>
      </c>
    </row>
    <row r="167" spans="1:8" ht="28.8" x14ac:dyDescent="0.3">
      <c r="A167" s="5">
        <v>311930</v>
      </c>
      <c r="B167" s="5">
        <v>311930</v>
      </c>
      <c r="C167" s="6" t="s">
        <v>188</v>
      </c>
      <c r="D167" s="4" t="s">
        <v>5</v>
      </c>
      <c r="E167" s="1" t="s">
        <v>6</v>
      </c>
      <c r="F167" s="7">
        <v>0.19500000000000001</v>
      </c>
      <c r="G167" s="7">
        <v>2.1000000000000001E-2</v>
      </c>
      <c r="H167" s="7">
        <v>0.216</v>
      </c>
    </row>
    <row r="168" spans="1:8" ht="28.8" x14ac:dyDescent="0.3">
      <c r="A168" s="5">
        <v>311941</v>
      </c>
      <c r="B168" s="5">
        <v>311940</v>
      </c>
      <c r="C168" s="6" t="s">
        <v>189</v>
      </c>
      <c r="D168" s="4" t="s">
        <v>5</v>
      </c>
      <c r="E168" s="1" t="s">
        <v>6</v>
      </c>
      <c r="F168" s="7">
        <v>0.30299999999999999</v>
      </c>
      <c r="G168" s="7">
        <v>0.04</v>
      </c>
      <c r="H168" s="7">
        <v>0.34399999999999997</v>
      </c>
    </row>
    <row r="169" spans="1:8" ht="28.8" x14ac:dyDescent="0.3">
      <c r="A169" s="5">
        <v>311942</v>
      </c>
      <c r="B169" s="5">
        <v>311940</v>
      </c>
      <c r="C169" s="6" t="s">
        <v>190</v>
      </c>
      <c r="D169" s="4" t="s">
        <v>5</v>
      </c>
      <c r="E169" s="1" t="s">
        <v>6</v>
      </c>
      <c r="F169" s="7">
        <v>0.30299999999999999</v>
      </c>
      <c r="G169" s="7">
        <v>0.04</v>
      </c>
      <c r="H169" s="7">
        <v>0.34399999999999997</v>
      </c>
    </row>
    <row r="170" spans="1:8" ht="28.8" x14ac:dyDescent="0.3">
      <c r="A170" s="5">
        <v>311991</v>
      </c>
      <c r="B170" s="5">
        <v>311990</v>
      </c>
      <c r="C170" s="6" t="s">
        <v>191</v>
      </c>
      <c r="D170" s="4" t="s">
        <v>5</v>
      </c>
      <c r="E170" s="1" t="s">
        <v>6</v>
      </c>
      <c r="F170" s="7">
        <v>0.35799999999999998</v>
      </c>
      <c r="G170" s="7">
        <v>4.2000000000000003E-2</v>
      </c>
      <c r="H170" s="7">
        <v>0.40100000000000002</v>
      </c>
    </row>
    <row r="171" spans="1:8" ht="28.8" x14ac:dyDescent="0.3">
      <c r="A171" s="5">
        <v>311999</v>
      </c>
      <c r="B171" s="5">
        <v>311990</v>
      </c>
      <c r="C171" s="6" t="s">
        <v>192</v>
      </c>
      <c r="D171" s="4" t="s">
        <v>5</v>
      </c>
      <c r="E171" s="1" t="s">
        <v>6</v>
      </c>
      <c r="F171" s="7">
        <v>0.35799999999999998</v>
      </c>
      <c r="G171" s="7">
        <v>4.2000000000000003E-2</v>
      </c>
      <c r="H171" s="7">
        <v>0.40100000000000002</v>
      </c>
    </row>
    <row r="172" spans="1:8" ht="28.8" x14ac:dyDescent="0.3">
      <c r="A172" s="5">
        <v>312111</v>
      </c>
      <c r="B172" s="5">
        <v>312110</v>
      </c>
      <c r="C172" s="6" t="s">
        <v>193</v>
      </c>
      <c r="D172" s="4" t="s">
        <v>5</v>
      </c>
      <c r="E172" s="1" t="s">
        <v>6</v>
      </c>
      <c r="F172" s="7">
        <v>0.17299999999999999</v>
      </c>
      <c r="G172" s="7">
        <v>4.2000000000000003E-2</v>
      </c>
      <c r="H172" s="7">
        <v>0.214</v>
      </c>
    </row>
    <row r="173" spans="1:8" ht="28.8" x14ac:dyDescent="0.3">
      <c r="A173" s="5">
        <v>312112</v>
      </c>
      <c r="B173" s="5">
        <v>312110</v>
      </c>
      <c r="C173" s="6" t="s">
        <v>194</v>
      </c>
      <c r="D173" s="4" t="s">
        <v>5</v>
      </c>
      <c r="E173" s="1" t="s">
        <v>6</v>
      </c>
      <c r="F173" s="7">
        <v>0.17299999999999999</v>
      </c>
      <c r="G173" s="7">
        <v>4.2000000000000003E-2</v>
      </c>
      <c r="H173" s="7">
        <v>0.214</v>
      </c>
    </row>
    <row r="174" spans="1:8" ht="28.8" x14ac:dyDescent="0.3">
      <c r="A174" s="5">
        <v>312113</v>
      </c>
      <c r="B174" s="5">
        <v>312110</v>
      </c>
      <c r="C174" s="6" t="s">
        <v>195</v>
      </c>
      <c r="D174" s="4" t="s">
        <v>5</v>
      </c>
      <c r="E174" s="1" t="s">
        <v>6</v>
      </c>
      <c r="F174" s="7">
        <v>0.17299999999999999</v>
      </c>
      <c r="G174" s="7">
        <v>4.2000000000000003E-2</v>
      </c>
      <c r="H174" s="7">
        <v>0.214</v>
      </c>
    </row>
    <row r="175" spans="1:8" ht="28.8" x14ac:dyDescent="0.3">
      <c r="A175" s="5">
        <v>312120</v>
      </c>
      <c r="B175" s="5">
        <v>312120</v>
      </c>
      <c r="C175" s="6" t="s">
        <v>196</v>
      </c>
      <c r="D175" s="4" t="s">
        <v>5</v>
      </c>
      <c r="E175" s="1" t="s">
        <v>6</v>
      </c>
      <c r="F175" s="7">
        <v>0.20899999999999999</v>
      </c>
      <c r="G175" s="7">
        <v>6.6000000000000003E-2</v>
      </c>
      <c r="H175" s="7">
        <v>0.27400000000000002</v>
      </c>
    </row>
    <row r="176" spans="1:8" ht="28.8" x14ac:dyDescent="0.3">
      <c r="A176" s="5">
        <v>312130</v>
      </c>
      <c r="B176" s="5">
        <v>312130</v>
      </c>
      <c r="C176" s="6" t="s">
        <v>197</v>
      </c>
      <c r="D176" s="4" t="s">
        <v>5</v>
      </c>
      <c r="E176" s="1" t="s">
        <v>6</v>
      </c>
      <c r="F176" s="7">
        <v>0.123</v>
      </c>
      <c r="G176" s="7">
        <v>5.8999999999999997E-2</v>
      </c>
      <c r="H176" s="7">
        <v>0.182</v>
      </c>
    </row>
    <row r="177" spans="1:8" ht="28.8" x14ac:dyDescent="0.3">
      <c r="A177" s="5">
        <v>312140</v>
      </c>
      <c r="B177" s="5">
        <v>312140</v>
      </c>
      <c r="C177" s="6" t="s">
        <v>198</v>
      </c>
      <c r="D177" s="4" t="s">
        <v>5</v>
      </c>
      <c r="E177" s="1" t="s">
        <v>6</v>
      </c>
      <c r="F177" s="7">
        <v>0.24199999999999999</v>
      </c>
      <c r="G177" s="7">
        <v>6.2E-2</v>
      </c>
      <c r="H177" s="7">
        <v>0.30499999999999999</v>
      </c>
    </row>
    <row r="178" spans="1:8" ht="28.8" x14ac:dyDescent="0.3">
      <c r="A178" s="5">
        <v>312230</v>
      </c>
      <c r="B178" s="5">
        <v>312200</v>
      </c>
      <c r="C178" s="6" t="s">
        <v>199</v>
      </c>
      <c r="D178" s="4" t="s">
        <v>5</v>
      </c>
      <c r="E178" s="1" t="s">
        <v>6</v>
      </c>
      <c r="F178" s="7">
        <v>5.5E-2</v>
      </c>
      <c r="G178" s="7">
        <v>4.5999999999999999E-2</v>
      </c>
      <c r="H178" s="7">
        <v>0.10100000000000001</v>
      </c>
    </row>
    <row r="179" spans="1:8" ht="28.8" x14ac:dyDescent="0.3">
      <c r="A179" s="5">
        <v>313110</v>
      </c>
      <c r="B179" s="5">
        <v>313100</v>
      </c>
      <c r="C179" s="6" t="s">
        <v>200</v>
      </c>
      <c r="D179" s="4" t="s">
        <v>5</v>
      </c>
      <c r="E179" s="1" t="s">
        <v>6</v>
      </c>
      <c r="F179" s="7">
        <v>0.63600000000000001</v>
      </c>
      <c r="G179" s="7">
        <v>2.3E-2</v>
      </c>
      <c r="H179" s="7">
        <v>0.65900000000000003</v>
      </c>
    </row>
    <row r="180" spans="1:8" ht="28.8" x14ac:dyDescent="0.3">
      <c r="A180" s="5">
        <v>313210</v>
      </c>
      <c r="B180" s="5">
        <v>313200</v>
      </c>
      <c r="C180" s="6" t="s">
        <v>201</v>
      </c>
      <c r="D180" s="4" t="s">
        <v>5</v>
      </c>
      <c r="E180" s="1" t="s">
        <v>6</v>
      </c>
      <c r="F180" s="7">
        <v>0.48</v>
      </c>
      <c r="G180" s="7">
        <v>2.7E-2</v>
      </c>
      <c r="H180" s="7">
        <v>0.50700000000000001</v>
      </c>
    </row>
    <row r="181" spans="1:8" ht="28.8" x14ac:dyDescent="0.3">
      <c r="A181" s="5">
        <v>313220</v>
      </c>
      <c r="B181" s="5">
        <v>313200</v>
      </c>
      <c r="C181" s="6" t="s">
        <v>202</v>
      </c>
      <c r="D181" s="4" t="s">
        <v>5</v>
      </c>
      <c r="E181" s="1" t="s">
        <v>6</v>
      </c>
      <c r="F181" s="7">
        <v>0.48</v>
      </c>
      <c r="G181" s="7">
        <v>2.7E-2</v>
      </c>
      <c r="H181" s="7">
        <v>0.50700000000000001</v>
      </c>
    </row>
    <row r="182" spans="1:8" ht="28.8" x14ac:dyDescent="0.3">
      <c r="A182" s="5">
        <v>313230</v>
      </c>
      <c r="B182" s="5">
        <v>313200</v>
      </c>
      <c r="C182" s="6" t="s">
        <v>203</v>
      </c>
      <c r="D182" s="4" t="s">
        <v>5</v>
      </c>
      <c r="E182" s="1" t="s">
        <v>6</v>
      </c>
      <c r="F182" s="7">
        <v>0.48</v>
      </c>
      <c r="G182" s="7">
        <v>2.7E-2</v>
      </c>
      <c r="H182" s="7">
        <v>0.50700000000000001</v>
      </c>
    </row>
    <row r="183" spans="1:8" ht="28.8" x14ac:dyDescent="0.3">
      <c r="A183" s="5">
        <v>313240</v>
      </c>
      <c r="B183" s="5">
        <v>313200</v>
      </c>
      <c r="C183" s="6" t="s">
        <v>204</v>
      </c>
      <c r="D183" s="4" t="s">
        <v>5</v>
      </c>
      <c r="E183" s="1" t="s">
        <v>6</v>
      </c>
      <c r="F183" s="7">
        <v>0.48</v>
      </c>
      <c r="G183" s="7">
        <v>2.7E-2</v>
      </c>
      <c r="H183" s="7">
        <v>0.50700000000000001</v>
      </c>
    </row>
    <row r="184" spans="1:8" ht="28.8" x14ac:dyDescent="0.3">
      <c r="A184" s="5">
        <v>313310</v>
      </c>
      <c r="B184" s="5">
        <v>313300</v>
      </c>
      <c r="C184" s="6" t="s">
        <v>205</v>
      </c>
      <c r="D184" s="4" t="s">
        <v>5</v>
      </c>
      <c r="E184" s="1" t="s">
        <v>6</v>
      </c>
      <c r="F184" s="7">
        <v>0.37</v>
      </c>
      <c r="G184" s="7">
        <v>2.5999999999999999E-2</v>
      </c>
      <c r="H184" s="7">
        <v>0.39600000000000002</v>
      </c>
    </row>
    <row r="185" spans="1:8" ht="28.8" x14ac:dyDescent="0.3">
      <c r="A185" s="5">
        <v>313320</v>
      </c>
      <c r="B185" s="5">
        <v>313300</v>
      </c>
      <c r="C185" s="6" t="s">
        <v>206</v>
      </c>
      <c r="D185" s="4" t="s">
        <v>5</v>
      </c>
      <c r="E185" s="1" t="s">
        <v>6</v>
      </c>
      <c r="F185" s="7">
        <v>0.37</v>
      </c>
      <c r="G185" s="7">
        <v>2.5999999999999999E-2</v>
      </c>
      <c r="H185" s="7">
        <v>0.39600000000000002</v>
      </c>
    </row>
    <row r="186" spans="1:8" ht="28.8" x14ac:dyDescent="0.3">
      <c r="A186" s="5">
        <v>314110</v>
      </c>
      <c r="B186" s="5">
        <v>314110</v>
      </c>
      <c r="C186" s="6" t="s">
        <v>207</v>
      </c>
      <c r="D186" s="4" t="s">
        <v>5</v>
      </c>
      <c r="E186" s="1" t="s">
        <v>6</v>
      </c>
      <c r="F186" s="7">
        <v>0.224</v>
      </c>
      <c r="G186" s="7">
        <v>6.8000000000000005E-2</v>
      </c>
      <c r="H186" s="7">
        <v>0.29199999999999998</v>
      </c>
    </row>
    <row r="187" spans="1:8" ht="28.8" x14ac:dyDescent="0.3">
      <c r="A187" s="5">
        <v>314120</v>
      </c>
      <c r="B187" s="5">
        <v>314120</v>
      </c>
      <c r="C187" s="6" t="s">
        <v>208</v>
      </c>
      <c r="D187" s="4" t="s">
        <v>5</v>
      </c>
      <c r="E187" s="1" t="s">
        <v>6</v>
      </c>
      <c r="F187" s="7">
        <v>0.20599999999999999</v>
      </c>
      <c r="G187" s="7">
        <v>6.0999999999999999E-2</v>
      </c>
      <c r="H187" s="7">
        <v>0.26700000000000002</v>
      </c>
    </row>
    <row r="188" spans="1:8" ht="28.8" x14ac:dyDescent="0.3">
      <c r="A188" s="5">
        <v>314910</v>
      </c>
      <c r="B188" s="5">
        <v>314900</v>
      </c>
      <c r="C188" s="6" t="s">
        <v>209</v>
      </c>
      <c r="D188" s="4" t="s">
        <v>5</v>
      </c>
      <c r="E188" s="1" t="s">
        <v>6</v>
      </c>
      <c r="F188" s="7">
        <v>0.19700000000000001</v>
      </c>
      <c r="G188" s="7">
        <v>4.5999999999999999E-2</v>
      </c>
      <c r="H188" s="7">
        <v>0.24299999999999999</v>
      </c>
    </row>
    <row r="189" spans="1:8" ht="28.8" x14ac:dyDescent="0.3">
      <c r="A189" s="5">
        <v>314994</v>
      </c>
      <c r="B189" s="5">
        <v>314900</v>
      </c>
      <c r="C189" s="6" t="s">
        <v>210</v>
      </c>
      <c r="D189" s="4" t="s">
        <v>5</v>
      </c>
      <c r="E189" s="1" t="s">
        <v>6</v>
      </c>
      <c r="F189" s="7">
        <v>0.19700000000000001</v>
      </c>
      <c r="G189" s="7">
        <v>4.5999999999999999E-2</v>
      </c>
      <c r="H189" s="7">
        <v>0.24299999999999999</v>
      </c>
    </row>
    <row r="190" spans="1:8" ht="28.8" x14ac:dyDescent="0.3">
      <c r="A190" s="5">
        <v>314999</v>
      </c>
      <c r="B190" s="5">
        <v>314900</v>
      </c>
      <c r="C190" s="6" t="s">
        <v>211</v>
      </c>
      <c r="D190" s="4" t="s">
        <v>5</v>
      </c>
      <c r="E190" s="1" t="s">
        <v>6</v>
      </c>
      <c r="F190" s="7">
        <v>0.19700000000000001</v>
      </c>
      <c r="G190" s="7">
        <v>4.5999999999999999E-2</v>
      </c>
      <c r="H190" s="7">
        <v>0.24299999999999999</v>
      </c>
    </row>
    <row r="191" spans="1:8" ht="28.8" x14ac:dyDescent="0.3">
      <c r="A191" s="5">
        <v>315110</v>
      </c>
      <c r="B191" s="5">
        <v>315000</v>
      </c>
      <c r="C191" s="6" t="s">
        <v>212</v>
      </c>
      <c r="D191" s="4" t="s">
        <v>5</v>
      </c>
      <c r="E191" s="1" t="s">
        <v>6</v>
      </c>
      <c r="F191" s="7">
        <v>0.06</v>
      </c>
      <c r="G191" s="7">
        <v>0.06</v>
      </c>
      <c r="H191" s="7">
        <v>0.12</v>
      </c>
    </row>
    <row r="192" spans="1:8" ht="28.8" x14ac:dyDescent="0.3">
      <c r="A192" s="5">
        <v>315190</v>
      </c>
      <c r="B192" s="5">
        <v>315000</v>
      </c>
      <c r="C192" s="6" t="s">
        <v>213</v>
      </c>
      <c r="D192" s="4" t="s">
        <v>5</v>
      </c>
      <c r="E192" s="1" t="s">
        <v>6</v>
      </c>
      <c r="F192" s="7">
        <v>0.06</v>
      </c>
      <c r="G192" s="7">
        <v>0.06</v>
      </c>
      <c r="H192" s="7">
        <v>0.12</v>
      </c>
    </row>
    <row r="193" spans="1:8" ht="28.8" x14ac:dyDescent="0.3">
      <c r="A193" s="5">
        <v>315210</v>
      </c>
      <c r="B193" s="5">
        <v>315000</v>
      </c>
      <c r="C193" s="6" t="s">
        <v>214</v>
      </c>
      <c r="D193" s="4" t="s">
        <v>5</v>
      </c>
      <c r="E193" s="1" t="s">
        <v>6</v>
      </c>
      <c r="F193" s="7">
        <v>0.06</v>
      </c>
      <c r="G193" s="7">
        <v>0.06</v>
      </c>
      <c r="H193" s="7">
        <v>0.12</v>
      </c>
    </row>
    <row r="194" spans="1:8" ht="28.8" x14ac:dyDescent="0.3">
      <c r="A194" s="5">
        <v>315220</v>
      </c>
      <c r="B194" s="5">
        <v>315000</v>
      </c>
      <c r="C194" s="6" t="s">
        <v>215</v>
      </c>
      <c r="D194" s="4" t="s">
        <v>5</v>
      </c>
      <c r="E194" s="1" t="s">
        <v>6</v>
      </c>
      <c r="F194" s="7">
        <v>0.06</v>
      </c>
      <c r="G194" s="7">
        <v>0.06</v>
      </c>
      <c r="H194" s="7">
        <v>0.12</v>
      </c>
    </row>
    <row r="195" spans="1:8" ht="28.8" x14ac:dyDescent="0.3">
      <c r="A195" s="5">
        <v>315240</v>
      </c>
      <c r="B195" s="5">
        <v>315000</v>
      </c>
      <c r="C195" s="6" t="s">
        <v>216</v>
      </c>
      <c r="D195" s="4" t="s">
        <v>5</v>
      </c>
      <c r="E195" s="1" t="s">
        <v>6</v>
      </c>
      <c r="F195" s="7">
        <v>0.06</v>
      </c>
      <c r="G195" s="7">
        <v>0.06</v>
      </c>
      <c r="H195" s="7">
        <v>0.12</v>
      </c>
    </row>
    <row r="196" spans="1:8" ht="28.8" x14ac:dyDescent="0.3">
      <c r="A196" s="5">
        <v>315280</v>
      </c>
      <c r="B196" s="5">
        <v>315000</v>
      </c>
      <c r="C196" s="6" t="s">
        <v>217</v>
      </c>
      <c r="D196" s="4" t="s">
        <v>5</v>
      </c>
      <c r="E196" s="1" t="s">
        <v>6</v>
      </c>
      <c r="F196" s="7">
        <v>0.06</v>
      </c>
      <c r="G196" s="7">
        <v>0.06</v>
      </c>
      <c r="H196" s="7">
        <v>0.12</v>
      </c>
    </row>
    <row r="197" spans="1:8" ht="28.8" x14ac:dyDescent="0.3">
      <c r="A197" s="5">
        <v>315990</v>
      </c>
      <c r="B197" s="5">
        <v>315000</v>
      </c>
      <c r="C197" s="6" t="s">
        <v>218</v>
      </c>
      <c r="D197" s="4" t="s">
        <v>5</v>
      </c>
      <c r="E197" s="1" t="s">
        <v>6</v>
      </c>
      <c r="F197" s="7">
        <v>0.06</v>
      </c>
      <c r="G197" s="7">
        <v>0.06</v>
      </c>
      <c r="H197" s="7">
        <v>0.12</v>
      </c>
    </row>
    <row r="198" spans="1:8" ht="28.8" x14ac:dyDescent="0.3">
      <c r="A198" s="5">
        <v>316110</v>
      </c>
      <c r="B198" s="5">
        <v>316000</v>
      </c>
      <c r="C198" s="6" t="s">
        <v>219</v>
      </c>
      <c r="D198" s="4" t="s">
        <v>5</v>
      </c>
      <c r="E198" s="1" t="s">
        <v>6</v>
      </c>
      <c r="F198" s="7">
        <v>0.222</v>
      </c>
      <c r="G198" s="7">
        <v>0.06</v>
      </c>
      <c r="H198" s="7">
        <v>0.28199999999999997</v>
      </c>
    </row>
    <row r="199" spans="1:8" ht="28.8" x14ac:dyDescent="0.3">
      <c r="A199" s="5">
        <v>316210</v>
      </c>
      <c r="B199" s="5">
        <v>316000</v>
      </c>
      <c r="C199" s="6" t="s">
        <v>220</v>
      </c>
      <c r="D199" s="4" t="s">
        <v>5</v>
      </c>
      <c r="E199" s="1" t="s">
        <v>6</v>
      </c>
      <c r="F199" s="7">
        <v>0.222</v>
      </c>
      <c r="G199" s="7">
        <v>0.06</v>
      </c>
      <c r="H199" s="7">
        <v>0.28199999999999997</v>
      </c>
    </row>
    <row r="200" spans="1:8" ht="28.8" x14ac:dyDescent="0.3">
      <c r="A200" s="5">
        <v>316992</v>
      </c>
      <c r="B200" s="5">
        <v>316000</v>
      </c>
      <c r="C200" s="6" t="s">
        <v>221</v>
      </c>
      <c r="D200" s="4" t="s">
        <v>5</v>
      </c>
      <c r="E200" s="1" t="s">
        <v>6</v>
      </c>
      <c r="F200" s="7">
        <v>0.222</v>
      </c>
      <c r="G200" s="7">
        <v>0.06</v>
      </c>
      <c r="H200" s="7">
        <v>0.28199999999999997</v>
      </c>
    </row>
    <row r="201" spans="1:8" ht="28.8" x14ac:dyDescent="0.3">
      <c r="A201" s="5">
        <v>316998</v>
      </c>
      <c r="B201" s="5">
        <v>316000</v>
      </c>
      <c r="C201" s="6" t="s">
        <v>222</v>
      </c>
      <c r="D201" s="4" t="s">
        <v>5</v>
      </c>
      <c r="E201" s="1" t="s">
        <v>6</v>
      </c>
      <c r="F201" s="7">
        <v>0.222</v>
      </c>
      <c r="G201" s="7">
        <v>0.06</v>
      </c>
      <c r="H201" s="7">
        <v>0.28199999999999997</v>
      </c>
    </row>
    <row r="202" spans="1:8" ht="28.8" x14ac:dyDescent="0.3">
      <c r="A202" s="5">
        <v>321113</v>
      </c>
      <c r="B202" s="5">
        <v>321100</v>
      </c>
      <c r="C202" s="6" t="s">
        <v>223</v>
      </c>
      <c r="D202" s="4" t="s">
        <v>5</v>
      </c>
      <c r="E202" s="1" t="s">
        <v>6</v>
      </c>
      <c r="F202" s="7">
        <v>0.22700000000000001</v>
      </c>
      <c r="G202" s="7">
        <v>3.6999999999999998E-2</v>
      </c>
      <c r="H202" s="7">
        <v>0.26400000000000001</v>
      </c>
    </row>
    <row r="203" spans="1:8" ht="28.8" x14ac:dyDescent="0.3">
      <c r="A203" s="5">
        <v>321114</v>
      </c>
      <c r="B203" s="5">
        <v>321100</v>
      </c>
      <c r="C203" s="6" t="s">
        <v>224</v>
      </c>
      <c r="D203" s="4" t="s">
        <v>5</v>
      </c>
      <c r="E203" s="1" t="s">
        <v>6</v>
      </c>
      <c r="F203" s="7">
        <v>0.22700000000000001</v>
      </c>
      <c r="G203" s="7">
        <v>3.6999999999999998E-2</v>
      </c>
      <c r="H203" s="7">
        <v>0.26400000000000001</v>
      </c>
    </row>
    <row r="204" spans="1:8" ht="28.8" x14ac:dyDescent="0.3">
      <c r="A204" s="5">
        <v>321211</v>
      </c>
      <c r="B204" s="5">
        <v>321200</v>
      </c>
      <c r="C204" s="6" t="s">
        <v>225</v>
      </c>
      <c r="D204" s="4" t="s">
        <v>5</v>
      </c>
      <c r="E204" s="1" t="s">
        <v>6</v>
      </c>
      <c r="F204" s="7">
        <v>0.187</v>
      </c>
      <c r="G204" s="7">
        <v>2.1000000000000001E-2</v>
      </c>
      <c r="H204" s="7">
        <v>0.20799999999999999</v>
      </c>
    </row>
    <row r="205" spans="1:8" ht="28.8" x14ac:dyDescent="0.3">
      <c r="A205" s="5">
        <v>321212</v>
      </c>
      <c r="B205" s="5">
        <v>321200</v>
      </c>
      <c r="C205" s="6" t="s">
        <v>226</v>
      </c>
      <c r="D205" s="4" t="s">
        <v>5</v>
      </c>
      <c r="E205" s="1" t="s">
        <v>6</v>
      </c>
      <c r="F205" s="7">
        <v>0.187</v>
      </c>
      <c r="G205" s="7">
        <v>2.1000000000000001E-2</v>
      </c>
      <c r="H205" s="7">
        <v>0.20799999999999999</v>
      </c>
    </row>
    <row r="206" spans="1:8" ht="28.8" x14ac:dyDescent="0.3">
      <c r="A206" s="5">
        <v>321213</v>
      </c>
      <c r="B206" s="5">
        <v>321200</v>
      </c>
      <c r="C206" s="6" t="s">
        <v>227</v>
      </c>
      <c r="D206" s="4" t="s">
        <v>5</v>
      </c>
      <c r="E206" s="1" t="s">
        <v>6</v>
      </c>
      <c r="F206" s="7">
        <v>0.187</v>
      </c>
      <c r="G206" s="7">
        <v>2.1000000000000001E-2</v>
      </c>
      <c r="H206" s="7">
        <v>0.20799999999999999</v>
      </c>
    </row>
    <row r="207" spans="1:8" ht="28.8" x14ac:dyDescent="0.3">
      <c r="A207" s="5">
        <v>321214</v>
      </c>
      <c r="B207" s="5">
        <v>321200</v>
      </c>
      <c r="C207" s="6" t="s">
        <v>228</v>
      </c>
      <c r="D207" s="4" t="s">
        <v>5</v>
      </c>
      <c r="E207" s="1" t="s">
        <v>6</v>
      </c>
      <c r="F207" s="7">
        <v>0.187</v>
      </c>
      <c r="G207" s="7">
        <v>2.1000000000000001E-2</v>
      </c>
      <c r="H207" s="7">
        <v>0.20799999999999999</v>
      </c>
    </row>
    <row r="208" spans="1:8" ht="28.8" x14ac:dyDescent="0.3">
      <c r="A208" s="5">
        <v>321219</v>
      </c>
      <c r="B208" s="5">
        <v>321200</v>
      </c>
      <c r="C208" s="6" t="s">
        <v>229</v>
      </c>
      <c r="D208" s="4" t="s">
        <v>5</v>
      </c>
      <c r="E208" s="1" t="s">
        <v>6</v>
      </c>
      <c r="F208" s="7">
        <v>0.187</v>
      </c>
      <c r="G208" s="7">
        <v>2.1000000000000001E-2</v>
      </c>
      <c r="H208" s="7">
        <v>0.20799999999999999</v>
      </c>
    </row>
    <row r="209" spans="1:8" ht="28.8" x14ac:dyDescent="0.3">
      <c r="A209" s="5">
        <v>321911</v>
      </c>
      <c r="B209" s="5">
        <v>321910</v>
      </c>
      <c r="C209" s="6" t="s">
        <v>230</v>
      </c>
      <c r="D209" s="4" t="s">
        <v>5</v>
      </c>
      <c r="E209" s="1" t="s">
        <v>6</v>
      </c>
      <c r="F209" s="7">
        <v>0.122</v>
      </c>
      <c r="G209" s="7">
        <v>3.1E-2</v>
      </c>
      <c r="H209" s="7">
        <v>0.154</v>
      </c>
    </row>
    <row r="210" spans="1:8" ht="28.8" x14ac:dyDescent="0.3">
      <c r="A210" s="5">
        <v>321912</v>
      </c>
      <c r="B210" s="5">
        <v>321910</v>
      </c>
      <c r="C210" s="6" t="s">
        <v>231</v>
      </c>
      <c r="D210" s="4" t="s">
        <v>5</v>
      </c>
      <c r="E210" s="1" t="s">
        <v>6</v>
      </c>
      <c r="F210" s="7">
        <v>0.122</v>
      </c>
      <c r="G210" s="7">
        <v>3.1E-2</v>
      </c>
      <c r="H210" s="7">
        <v>0.154</v>
      </c>
    </row>
    <row r="211" spans="1:8" ht="28.8" x14ac:dyDescent="0.3">
      <c r="A211" s="5">
        <v>321918</v>
      </c>
      <c r="B211" s="5">
        <v>321910</v>
      </c>
      <c r="C211" s="6" t="s">
        <v>232</v>
      </c>
      <c r="D211" s="4" t="s">
        <v>5</v>
      </c>
      <c r="E211" s="1" t="s">
        <v>6</v>
      </c>
      <c r="F211" s="7">
        <v>0.122</v>
      </c>
      <c r="G211" s="7">
        <v>3.1E-2</v>
      </c>
      <c r="H211" s="7">
        <v>0.154</v>
      </c>
    </row>
    <row r="212" spans="1:8" ht="28.8" x14ac:dyDescent="0.3">
      <c r="A212" s="5">
        <v>321920</v>
      </c>
      <c r="B212" s="5" t="s">
        <v>234</v>
      </c>
      <c r="C212" s="6" t="s">
        <v>233</v>
      </c>
      <c r="D212" s="4" t="s">
        <v>5</v>
      </c>
      <c r="E212" s="1" t="s">
        <v>6</v>
      </c>
      <c r="F212" s="7">
        <v>0.13500000000000001</v>
      </c>
      <c r="G212" s="7">
        <v>2.9000000000000001E-2</v>
      </c>
      <c r="H212" s="7">
        <v>0.16400000000000001</v>
      </c>
    </row>
    <row r="213" spans="1:8" ht="28.8" x14ac:dyDescent="0.3">
      <c r="A213" s="5">
        <v>321991</v>
      </c>
      <c r="B213" s="5" t="s">
        <v>234</v>
      </c>
      <c r="C213" s="6" t="s">
        <v>235</v>
      </c>
      <c r="D213" s="4" t="s">
        <v>5</v>
      </c>
      <c r="E213" s="1" t="s">
        <v>6</v>
      </c>
      <c r="F213" s="7">
        <v>0.13500000000000001</v>
      </c>
      <c r="G213" s="7">
        <v>2.9000000000000001E-2</v>
      </c>
      <c r="H213" s="7">
        <v>0.16400000000000001</v>
      </c>
    </row>
    <row r="214" spans="1:8" ht="28.8" x14ac:dyDescent="0.3">
      <c r="A214" s="5">
        <v>321992</v>
      </c>
      <c r="B214" s="5" t="s">
        <v>234</v>
      </c>
      <c r="C214" s="6" t="s">
        <v>236</v>
      </c>
      <c r="D214" s="4" t="s">
        <v>5</v>
      </c>
      <c r="E214" s="1" t="s">
        <v>6</v>
      </c>
      <c r="F214" s="7">
        <v>0.13500000000000001</v>
      </c>
      <c r="G214" s="7">
        <v>2.9000000000000001E-2</v>
      </c>
      <c r="H214" s="7">
        <v>0.16400000000000001</v>
      </c>
    </row>
    <row r="215" spans="1:8" ht="28.8" x14ac:dyDescent="0.3">
      <c r="A215" s="5">
        <v>321999</v>
      </c>
      <c r="B215" s="5" t="s">
        <v>234</v>
      </c>
      <c r="C215" s="6" t="s">
        <v>237</v>
      </c>
      <c r="D215" s="4" t="s">
        <v>5</v>
      </c>
      <c r="E215" s="1" t="s">
        <v>6</v>
      </c>
      <c r="F215" s="7">
        <v>0.13500000000000001</v>
      </c>
      <c r="G215" s="7">
        <v>2.9000000000000001E-2</v>
      </c>
      <c r="H215" s="7">
        <v>0.16400000000000001</v>
      </c>
    </row>
    <row r="216" spans="1:8" ht="28.8" x14ac:dyDescent="0.3">
      <c r="A216" s="5">
        <v>322110</v>
      </c>
      <c r="B216" s="5">
        <v>322110</v>
      </c>
      <c r="C216" s="6" t="s">
        <v>238</v>
      </c>
      <c r="D216" s="4" t="s">
        <v>5</v>
      </c>
      <c r="E216" s="1" t="s">
        <v>6</v>
      </c>
      <c r="F216" s="7">
        <v>0.97699999999999998</v>
      </c>
      <c r="G216" s="7">
        <v>2.5000000000000001E-2</v>
      </c>
      <c r="H216" s="7">
        <v>1.002</v>
      </c>
    </row>
    <row r="217" spans="1:8" ht="28.8" x14ac:dyDescent="0.3">
      <c r="A217" s="5">
        <v>322121</v>
      </c>
      <c r="B217" s="5">
        <v>322120</v>
      </c>
      <c r="C217" s="6" t="s">
        <v>239</v>
      </c>
      <c r="D217" s="4" t="s">
        <v>5</v>
      </c>
      <c r="E217" s="1" t="s">
        <v>6</v>
      </c>
      <c r="F217" s="7">
        <v>0.60299999999999998</v>
      </c>
      <c r="G217" s="7">
        <v>4.7E-2</v>
      </c>
      <c r="H217" s="7">
        <v>0.64900000000000002</v>
      </c>
    </row>
    <row r="218" spans="1:8" ht="28.8" x14ac:dyDescent="0.3">
      <c r="A218" s="5">
        <v>322122</v>
      </c>
      <c r="B218" s="5">
        <v>322120</v>
      </c>
      <c r="C218" s="6" t="s">
        <v>240</v>
      </c>
      <c r="D218" s="4" t="s">
        <v>5</v>
      </c>
      <c r="E218" s="1" t="s">
        <v>6</v>
      </c>
      <c r="F218" s="7">
        <v>0.60299999999999998</v>
      </c>
      <c r="G218" s="7">
        <v>4.7E-2</v>
      </c>
      <c r="H218" s="7">
        <v>0.64900000000000002</v>
      </c>
    </row>
    <row r="219" spans="1:8" ht="28.8" x14ac:dyDescent="0.3">
      <c r="A219" s="5">
        <v>322130</v>
      </c>
      <c r="B219" s="5">
        <v>322130</v>
      </c>
      <c r="C219" s="6" t="s">
        <v>241</v>
      </c>
      <c r="D219" s="4" t="s">
        <v>5</v>
      </c>
      <c r="E219" s="1" t="s">
        <v>6</v>
      </c>
      <c r="F219" s="7">
        <v>0.78900000000000003</v>
      </c>
      <c r="G219" s="7">
        <v>0.04</v>
      </c>
      <c r="H219" s="7">
        <v>0.82899999999999996</v>
      </c>
    </row>
    <row r="220" spans="1:8" ht="28.8" x14ac:dyDescent="0.3">
      <c r="A220" s="5">
        <v>322211</v>
      </c>
      <c r="B220" s="5">
        <v>322210</v>
      </c>
      <c r="C220" s="6" t="s">
        <v>242</v>
      </c>
      <c r="D220" s="4" t="s">
        <v>5</v>
      </c>
      <c r="E220" s="1" t="s">
        <v>6</v>
      </c>
      <c r="F220" s="7">
        <v>0.44900000000000001</v>
      </c>
      <c r="G220" s="7">
        <v>0.03</v>
      </c>
      <c r="H220" s="7">
        <v>0.47899999999999998</v>
      </c>
    </row>
    <row r="221" spans="1:8" ht="28.8" x14ac:dyDescent="0.3">
      <c r="A221" s="5">
        <v>322212</v>
      </c>
      <c r="B221" s="5">
        <v>322210</v>
      </c>
      <c r="C221" s="6" t="s">
        <v>243</v>
      </c>
      <c r="D221" s="4" t="s">
        <v>5</v>
      </c>
      <c r="E221" s="1" t="s">
        <v>6</v>
      </c>
      <c r="F221" s="7">
        <v>0.44900000000000001</v>
      </c>
      <c r="G221" s="7">
        <v>0.03</v>
      </c>
      <c r="H221" s="7">
        <v>0.47899999999999998</v>
      </c>
    </row>
    <row r="222" spans="1:8" ht="28.8" x14ac:dyDescent="0.3">
      <c r="A222" s="5">
        <v>322219</v>
      </c>
      <c r="B222" s="5">
        <v>322210</v>
      </c>
      <c r="C222" s="6" t="s">
        <v>244</v>
      </c>
      <c r="D222" s="4" t="s">
        <v>5</v>
      </c>
      <c r="E222" s="1" t="s">
        <v>6</v>
      </c>
      <c r="F222" s="7">
        <v>0.44900000000000001</v>
      </c>
      <c r="G222" s="7">
        <v>0.03</v>
      </c>
      <c r="H222" s="7">
        <v>0.47899999999999998</v>
      </c>
    </row>
    <row r="223" spans="1:8" ht="28.8" x14ac:dyDescent="0.3">
      <c r="A223" s="5">
        <v>322220</v>
      </c>
      <c r="B223" s="5">
        <v>322220</v>
      </c>
      <c r="C223" s="6" t="s">
        <v>245</v>
      </c>
      <c r="D223" s="4" t="s">
        <v>5</v>
      </c>
      <c r="E223" s="1" t="s">
        <v>6</v>
      </c>
      <c r="F223" s="7">
        <v>0.33</v>
      </c>
      <c r="G223" s="7">
        <v>3.4000000000000002E-2</v>
      </c>
      <c r="H223" s="7">
        <v>0.36399999999999999</v>
      </c>
    </row>
    <row r="224" spans="1:8" ht="28.8" x14ac:dyDescent="0.3">
      <c r="A224" s="5">
        <v>322230</v>
      </c>
      <c r="B224" s="5">
        <v>322230</v>
      </c>
      <c r="C224" s="6" t="s">
        <v>246</v>
      </c>
      <c r="D224" s="4" t="s">
        <v>5</v>
      </c>
      <c r="E224" s="1" t="s">
        <v>6</v>
      </c>
      <c r="F224" s="7">
        <v>0.26500000000000001</v>
      </c>
      <c r="G224" s="7">
        <v>3.1E-2</v>
      </c>
      <c r="H224" s="7">
        <v>0.29599999999999999</v>
      </c>
    </row>
    <row r="225" spans="1:8" ht="28.8" x14ac:dyDescent="0.3">
      <c r="A225" s="5">
        <v>322291</v>
      </c>
      <c r="B225" s="5">
        <v>322291</v>
      </c>
      <c r="C225" s="6" t="s">
        <v>247</v>
      </c>
      <c r="D225" s="4" t="s">
        <v>5</v>
      </c>
      <c r="E225" s="1" t="s">
        <v>6</v>
      </c>
      <c r="F225" s="7">
        <v>0.27500000000000002</v>
      </c>
      <c r="G225" s="7">
        <v>6.5000000000000002E-2</v>
      </c>
      <c r="H225" s="7">
        <v>0.34</v>
      </c>
    </row>
    <row r="226" spans="1:8" ht="28.8" x14ac:dyDescent="0.3">
      <c r="A226" s="5">
        <v>322299</v>
      </c>
      <c r="B226" s="5">
        <v>322299</v>
      </c>
      <c r="C226" s="6" t="s">
        <v>248</v>
      </c>
      <c r="D226" s="4" t="s">
        <v>5</v>
      </c>
      <c r="E226" s="1" t="s">
        <v>6</v>
      </c>
      <c r="F226" s="7">
        <v>0.30499999999999999</v>
      </c>
      <c r="G226" s="7">
        <v>3.7999999999999999E-2</v>
      </c>
      <c r="H226" s="7">
        <v>0.34300000000000003</v>
      </c>
    </row>
    <row r="227" spans="1:8" ht="28.8" x14ac:dyDescent="0.3">
      <c r="A227" s="5">
        <v>323111</v>
      </c>
      <c r="B227" s="5">
        <v>323110</v>
      </c>
      <c r="C227" s="6" t="s">
        <v>249</v>
      </c>
      <c r="D227" s="4" t="s">
        <v>5</v>
      </c>
      <c r="E227" s="1" t="s">
        <v>6</v>
      </c>
      <c r="F227" s="7">
        <v>0.20200000000000001</v>
      </c>
      <c r="G227" s="7">
        <v>3.4000000000000002E-2</v>
      </c>
      <c r="H227" s="7">
        <v>0.23599999999999999</v>
      </c>
    </row>
    <row r="228" spans="1:8" ht="28.8" x14ac:dyDescent="0.3">
      <c r="A228" s="5">
        <v>323113</v>
      </c>
      <c r="B228" s="5">
        <v>323110</v>
      </c>
      <c r="C228" s="6" t="s">
        <v>250</v>
      </c>
      <c r="D228" s="4" t="s">
        <v>5</v>
      </c>
      <c r="E228" s="1" t="s">
        <v>6</v>
      </c>
      <c r="F228" s="7">
        <v>0.20200000000000001</v>
      </c>
      <c r="G228" s="7">
        <v>3.4000000000000002E-2</v>
      </c>
      <c r="H228" s="7">
        <v>0.23599999999999999</v>
      </c>
    </row>
    <row r="229" spans="1:8" ht="28.8" x14ac:dyDescent="0.3">
      <c r="A229" s="5">
        <v>323117</v>
      </c>
      <c r="B229" s="5">
        <v>323110</v>
      </c>
      <c r="C229" s="6" t="s">
        <v>251</v>
      </c>
      <c r="D229" s="4" t="s">
        <v>5</v>
      </c>
      <c r="E229" s="1" t="s">
        <v>6</v>
      </c>
      <c r="F229" s="7">
        <v>0.20200000000000001</v>
      </c>
      <c r="G229" s="7">
        <v>3.4000000000000002E-2</v>
      </c>
      <c r="H229" s="7">
        <v>0.23599999999999999</v>
      </c>
    </row>
    <row r="230" spans="1:8" ht="28.8" x14ac:dyDescent="0.3">
      <c r="A230" s="5">
        <v>323120</v>
      </c>
      <c r="B230" s="5">
        <v>323120</v>
      </c>
      <c r="C230" s="6" t="s">
        <v>252</v>
      </c>
      <c r="D230" s="4" t="s">
        <v>5</v>
      </c>
      <c r="E230" s="1" t="s">
        <v>6</v>
      </c>
      <c r="F230" s="7">
        <v>0.214</v>
      </c>
      <c r="G230" s="7">
        <v>2.3E-2</v>
      </c>
      <c r="H230" s="7">
        <v>0.23699999999999999</v>
      </c>
    </row>
    <row r="231" spans="1:8" ht="28.8" x14ac:dyDescent="0.3">
      <c r="A231" s="5">
        <v>324110</v>
      </c>
      <c r="B231" s="5">
        <v>324110</v>
      </c>
      <c r="C231" s="6" t="s">
        <v>253</v>
      </c>
      <c r="D231" s="4" t="s">
        <v>5</v>
      </c>
      <c r="E231" s="1" t="s">
        <v>6</v>
      </c>
      <c r="F231" s="7">
        <v>0.248</v>
      </c>
      <c r="G231" s="7">
        <v>2.1999999999999999E-2</v>
      </c>
      <c r="H231" s="7">
        <v>0.27</v>
      </c>
    </row>
    <row r="232" spans="1:8" ht="28.8" x14ac:dyDescent="0.3">
      <c r="A232" s="5">
        <v>324121</v>
      </c>
      <c r="B232" s="5">
        <v>324121</v>
      </c>
      <c r="C232" s="6" t="s">
        <v>254</v>
      </c>
      <c r="D232" s="4" t="s">
        <v>5</v>
      </c>
      <c r="E232" s="1" t="s">
        <v>6</v>
      </c>
      <c r="F232" s="7">
        <v>1.093</v>
      </c>
      <c r="G232" s="7">
        <v>2.8000000000000001E-2</v>
      </c>
      <c r="H232" s="7">
        <v>1.121</v>
      </c>
    </row>
    <row r="233" spans="1:8" ht="28.8" x14ac:dyDescent="0.3">
      <c r="A233" s="5">
        <v>324122</v>
      </c>
      <c r="B233" s="5">
        <v>324122</v>
      </c>
      <c r="C233" s="6" t="s">
        <v>255</v>
      </c>
      <c r="D233" s="4" t="s">
        <v>5</v>
      </c>
      <c r="E233" s="1" t="s">
        <v>6</v>
      </c>
      <c r="F233" s="7">
        <v>0.57599999999999996</v>
      </c>
      <c r="G233" s="7">
        <v>3.2000000000000001E-2</v>
      </c>
      <c r="H233" s="7">
        <v>0.60799999999999998</v>
      </c>
    </row>
    <row r="234" spans="1:8" ht="28.8" x14ac:dyDescent="0.3">
      <c r="A234" s="5">
        <v>324191</v>
      </c>
      <c r="B234" s="5">
        <v>324190</v>
      </c>
      <c r="C234" s="6" t="s">
        <v>256</v>
      </c>
      <c r="D234" s="4" t="s">
        <v>5</v>
      </c>
      <c r="E234" s="1" t="s">
        <v>6</v>
      </c>
      <c r="F234" s="7">
        <v>0.35899999999999999</v>
      </c>
      <c r="G234" s="7">
        <v>3.2000000000000001E-2</v>
      </c>
      <c r="H234" s="7">
        <v>0.39100000000000001</v>
      </c>
    </row>
    <row r="235" spans="1:8" ht="28.8" x14ac:dyDescent="0.3">
      <c r="A235" s="5">
        <v>324199</v>
      </c>
      <c r="B235" s="5">
        <v>324190</v>
      </c>
      <c r="C235" s="6" t="s">
        <v>257</v>
      </c>
      <c r="D235" s="4" t="s">
        <v>5</v>
      </c>
      <c r="E235" s="1" t="s">
        <v>6</v>
      </c>
      <c r="F235" s="7">
        <v>0.35899999999999999</v>
      </c>
      <c r="G235" s="7">
        <v>3.2000000000000001E-2</v>
      </c>
      <c r="H235" s="7">
        <v>0.39100000000000001</v>
      </c>
    </row>
    <row r="236" spans="1:8" ht="28.8" x14ac:dyDescent="0.3">
      <c r="A236" s="5">
        <v>325110</v>
      </c>
      <c r="B236" s="5">
        <v>325110</v>
      </c>
      <c r="C236" s="6" t="s">
        <v>258</v>
      </c>
      <c r="D236" s="4" t="s">
        <v>5</v>
      </c>
      <c r="E236" s="1" t="s">
        <v>6</v>
      </c>
      <c r="F236" s="7">
        <v>0.79400000000000004</v>
      </c>
      <c r="G236" s="7">
        <v>1.6E-2</v>
      </c>
      <c r="H236" s="7">
        <v>0.81100000000000005</v>
      </c>
    </row>
    <row r="237" spans="1:8" ht="28.8" x14ac:dyDescent="0.3">
      <c r="A237" s="5">
        <v>325120</v>
      </c>
      <c r="B237" s="5">
        <v>325120</v>
      </c>
      <c r="C237" s="6" t="s">
        <v>259</v>
      </c>
      <c r="D237" s="4" t="s">
        <v>5</v>
      </c>
      <c r="E237" s="1" t="s">
        <v>6</v>
      </c>
      <c r="F237" s="7">
        <v>1.163</v>
      </c>
      <c r="G237" s="7">
        <v>4.8000000000000001E-2</v>
      </c>
      <c r="H237" s="7">
        <v>1.2110000000000001</v>
      </c>
    </row>
    <row r="238" spans="1:8" ht="28.8" x14ac:dyDescent="0.3">
      <c r="A238" s="5">
        <v>325130</v>
      </c>
      <c r="B238" s="5">
        <v>325130</v>
      </c>
      <c r="C238" s="6" t="s">
        <v>260</v>
      </c>
      <c r="D238" s="4" t="s">
        <v>5</v>
      </c>
      <c r="E238" s="1" t="s">
        <v>6</v>
      </c>
      <c r="F238" s="7">
        <v>0.40600000000000003</v>
      </c>
      <c r="G238" s="7">
        <v>2.7E-2</v>
      </c>
      <c r="H238" s="7">
        <v>0.432</v>
      </c>
    </row>
    <row r="239" spans="1:8" ht="28.8" x14ac:dyDescent="0.3">
      <c r="A239" s="5">
        <v>325180</v>
      </c>
      <c r="B239" s="5">
        <v>325180</v>
      </c>
      <c r="C239" s="6" t="s">
        <v>261</v>
      </c>
      <c r="D239" s="4" t="s">
        <v>5</v>
      </c>
      <c r="E239" s="1" t="s">
        <v>6</v>
      </c>
      <c r="F239" s="7">
        <v>0.97399999999999998</v>
      </c>
      <c r="G239" s="7">
        <v>3.5999999999999997E-2</v>
      </c>
      <c r="H239" s="7">
        <v>1.01</v>
      </c>
    </row>
    <row r="240" spans="1:8" ht="28.8" x14ac:dyDescent="0.3">
      <c r="A240" s="5">
        <v>325193</v>
      </c>
      <c r="B240" s="5">
        <v>325190</v>
      </c>
      <c r="C240" s="6" t="s">
        <v>262</v>
      </c>
      <c r="D240" s="4" t="s">
        <v>5</v>
      </c>
      <c r="E240" s="1" t="s">
        <v>6</v>
      </c>
      <c r="F240" s="7">
        <v>1.1659999999999999</v>
      </c>
      <c r="G240" s="7">
        <v>1.7999999999999999E-2</v>
      </c>
      <c r="H240" s="7">
        <v>1.1839999999999999</v>
      </c>
    </row>
    <row r="241" spans="1:8" ht="28.8" x14ac:dyDescent="0.3">
      <c r="A241" s="5">
        <v>325194</v>
      </c>
      <c r="B241" s="5">
        <v>325190</v>
      </c>
      <c r="C241" s="6" t="s">
        <v>263</v>
      </c>
      <c r="D241" s="4" t="s">
        <v>5</v>
      </c>
      <c r="E241" s="1" t="s">
        <v>6</v>
      </c>
      <c r="F241" s="7">
        <v>1.1659999999999999</v>
      </c>
      <c r="G241" s="7">
        <v>1.7999999999999999E-2</v>
      </c>
      <c r="H241" s="7">
        <v>1.1839999999999999</v>
      </c>
    </row>
    <row r="242" spans="1:8" ht="28.8" x14ac:dyDescent="0.3">
      <c r="A242" s="5">
        <v>325199</v>
      </c>
      <c r="B242" s="5">
        <v>325190</v>
      </c>
      <c r="C242" s="6" t="s">
        <v>264</v>
      </c>
      <c r="D242" s="4" t="s">
        <v>5</v>
      </c>
      <c r="E242" s="1" t="s">
        <v>6</v>
      </c>
      <c r="F242" s="7">
        <v>1.1659999999999999</v>
      </c>
      <c r="G242" s="7">
        <v>1.7999999999999999E-2</v>
      </c>
      <c r="H242" s="7">
        <v>1.1839999999999999</v>
      </c>
    </row>
    <row r="243" spans="1:8" ht="28.8" x14ac:dyDescent="0.3">
      <c r="A243" s="5">
        <v>325211</v>
      </c>
      <c r="B243" s="5">
        <v>325211</v>
      </c>
      <c r="C243" s="6" t="s">
        <v>265</v>
      </c>
      <c r="D243" s="4" t="s">
        <v>5</v>
      </c>
      <c r="E243" s="1" t="s">
        <v>6</v>
      </c>
      <c r="F243" s="7">
        <v>1.022</v>
      </c>
      <c r="G243" s="7">
        <v>2.4E-2</v>
      </c>
      <c r="H243" s="7">
        <v>1.0449999999999999</v>
      </c>
    </row>
    <row r="244" spans="1:8" ht="28.8" x14ac:dyDescent="0.3">
      <c r="A244" s="5">
        <v>325212</v>
      </c>
      <c r="B244" s="5" t="s">
        <v>267</v>
      </c>
      <c r="C244" s="6" t="s">
        <v>266</v>
      </c>
      <c r="D244" s="4" t="s">
        <v>5</v>
      </c>
      <c r="E244" s="1" t="s">
        <v>6</v>
      </c>
      <c r="F244" s="7">
        <v>0.88600000000000001</v>
      </c>
      <c r="G244" s="7">
        <v>1.6E-2</v>
      </c>
      <c r="H244" s="7">
        <v>0.90200000000000002</v>
      </c>
    </row>
    <row r="245" spans="1:8" ht="28.8" x14ac:dyDescent="0.3">
      <c r="A245" s="5">
        <v>325220</v>
      </c>
      <c r="B245" s="5" t="s">
        <v>267</v>
      </c>
      <c r="C245" s="6" t="s">
        <v>268</v>
      </c>
      <c r="D245" s="4" t="s">
        <v>5</v>
      </c>
      <c r="E245" s="1" t="s">
        <v>6</v>
      </c>
      <c r="F245" s="7">
        <v>0.88600000000000001</v>
      </c>
      <c r="G245" s="7">
        <v>1.6E-2</v>
      </c>
      <c r="H245" s="7">
        <v>0.90200000000000002</v>
      </c>
    </row>
    <row r="246" spans="1:8" ht="28.8" x14ac:dyDescent="0.3">
      <c r="A246" s="5">
        <v>325311</v>
      </c>
      <c r="B246" s="5">
        <v>325310</v>
      </c>
      <c r="C246" s="6" t="s">
        <v>269</v>
      </c>
      <c r="D246" s="4" t="s">
        <v>5</v>
      </c>
      <c r="E246" s="1" t="s">
        <v>6</v>
      </c>
      <c r="F246" s="7">
        <v>1.1140000000000001</v>
      </c>
      <c r="G246" s="7">
        <v>2.3E-2</v>
      </c>
      <c r="H246" s="7">
        <v>1.137</v>
      </c>
    </row>
    <row r="247" spans="1:8" ht="28.8" x14ac:dyDescent="0.3">
      <c r="A247" s="5">
        <v>325312</v>
      </c>
      <c r="B247" s="5">
        <v>325310</v>
      </c>
      <c r="C247" s="6" t="s">
        <v>270</v>
      </c>
      <c r="D247" s="4" t="s">
        <v>5</v>
      </c>
      <c r="E247" s="1" t="s">
        <v>6</v>
      </c>
      <c r="F247" s="7">
        <v>1.1140000000000001</v>
      </c>
      <c r="G247" s="7">
        <v>2.3E-2</v>
      </c>
      <c r="H247" s="7">
        <v>1.137</v>
      </c>
    </row>
    <row r="248" spans="1:8" ht="28.8" x14ac:dyDescent="0.3">
      <c r="A248" s="5">
        <v>325314</v>
      </c>
      <c r="B248" s="5">
        <v>325310</v>
      </c>
      <c r="C248" s="6" t="s">
        <v>271</v>
      </c>
      <c r="D248" s="4" t="s">
        <v>5</v>
      </c>
      <c r="E248" s="1" t="s">
        <v>6</v>
      </c>
      <c r="F248" s="7">
        <v>1.1140000000000001</v>
      </c>
      <c r="G248" s="7">
        <v>2.3E-2</v>
      </c>
      <c r="H248" s="7">
        <v>1.137</v>
      </c>
    </row>
    <row r="249" spans="1:8" ht="28.8" x14ac:dyDescent="0.3">
      <c r="A249" s="5">
        <v>325320</v>
      </c>
      <c r="B249" s="5">
        <v>325320</v>
      </c>
      <c r="C249" s="6" t="s">
        <v>272</v>
      </c>
      <c r="D249" s="4" t="s">
        <v>5</v>
      </c>
      <c r="E249" s="1" t="s">
        <v>6</v>
      </c>
      <c r="F249" s="7">
        <v>0.433</v>
      </c>
      <c r="G249" s="7">
        <v>3.1E-2</v>
      </c>
      <c r="H249" s="7">
        <v>0.46300000000000002</v>
      </c>
    </row>
    <row r="250" spans="1:8" ht="28.8" x14ac:dyDescent="0.3">
      <c r="A250" s="5">
        <v>325411</v>
      </c>
      <c r="B250" s="5">
        <v>325411</v>
      </c>
      <c r="C250" s="6" t="s">
        <v>273</v>
      </c>
      <c r="D250" s="4" t="s">
        <v>5</v>
      </c>
      <c r="E250" s="1" t="s">
        <v>6</v>
      </c>
      <c r="F250" s="7">
        <v>0.151</v>
      </c>
      <c r="G250" s="7">
        <v>3.6999999999999998E-2</v>
      </c>
      <c r="H250" s="7">
        <v>0.189</v>
      </c>
    </row>
    <row r="251" spans="1:8" ht="28.8" x14ac:dyDescent="0.3">
      <c r="A251" s="5">
        <v>325412</v>
      </c>
      <c r="B251" s="5">
        <v>325412</v>
      </c>
      <c r="C251" s="6" t="s">
        <v>274</v>
      </c>
      <c r="D251" s="4" t="s">
        <v>5</v>
      </c>
      <c r="E251" s="1" t="s">
        <v>6</v>
      </c>
      <c r="F251" s="7">
        <v>4.4999999999999998E-2</v>
      </c>
      <c r="G251" s="7">
        <v>5.2999999999999999E-2</v>
      </c>
      <c r="H251" s="7">
        <v>9.9000000000000005E-2</v>
      </c>
    </row>
    <row r="252" spans="1:8" ht="28.8" x14ac:dyDescent="0.3">
      <c r="A252" s="5">
        <v>325413</v>
      </c>
      <c r="B252" s="5">
        <v>325413</v>
      </c>
      <c r="C252" s="6" t="s">
        <v>275</v>
      </c>
      <c r="D252" s="4" t="s">
        <v>5</v>
      </c>
      <c r="E252" s="1" t="s">
        <v>6</v>
      </c>
      <c r="F252" s="7">
        <v>0.161</v>
      </c>
      <c r="G252" s="7">
        <v>2.1999999999999999E-2</v>
      </c>
      <c r="H252" s="7">
        <v>0.183</v>
      </c>
    </row>
    <row r="253" spans="1:8" ht="28.8" x14ac:dyDescent="0.3">
      <c r="A253" s="5">
        <v>325414</v>
      </c>
      <c r="B253" s="5">
        <v>325414</v>
      </c>
      <c r="C253" s="6" t="s">
        <v>276</v>
      </c>
      <c r="D253" s="4" t="s">
        <v>5</v>
      </c>
      <c r="E253" s="1" t="s">
        <v>6</v>
      </c>
      <c r="F253" s="7">
        <v>0.126</v>
      </c>
      <c r="G253" s="7">
        <v>2.5000000000000001E-2</v>
      </c>
      <c r="H253" s="7">
        <v>0.15</v>
      </c>
    </row>
    <row r="254" spans="1:8" ht="28.8" x14ac:dyDescent="0.3">
      <c r="A254" s="5">
        <v>325510</v>
      </c>
      <c r="B254" s="5">
        <v>325510</v>
      </c>
      <c r="C254" s="6" t="s">
        <v>277</v>
      </c>
      <c r="D254" s="4" t="s">
        <v>5</v>
      </c>
      <c r="E254" s="1" t="s">
        <v>6</v>
      </c>
      <c r="F254" s="7">
        <v>0.26400000000000001</v>
      </c>
      <c r="G254" s="7">
        <v>2.7E-2</v>
      </c>
      <c r="H254" s="7">
        <v>0.29099999999999998</v>
      </c>
    </row>
    <row r="255" spans="1:8" ht="28.8" x14ac:dyDescent="0.3">
      <c r="A255" s="5">
        <v>325520</v>
      </c>
      <c r="B255" s="5">
        <v>325520</v>
      </c>
      <c r="C255" s="6" t="s">
        <v>278</v>
      </c>
      <c r="D255" s="4" t="s">
        <v>5</v>
      </c>
      <c r="E255" s="1" t="s">
        <v>6</v>
      </c>
      <c r="F255" s="7">
        <v>0.502</v>
      </c>
      <c r="G255" s="7">
        <v>2.9000000000000001E-2</v>
      </c>
      <c r="H255" s="7">
        <v>0.53100000000000003</v>
      </c>
    </row>
    <row r="256" spans="1:8" ht="28.8" x14ac:dyDescent="0.3">
      <c r="A256" s="5">
        <v>325611</v>
      </c>
      <c r="B256" s="5">
        <v>325610</v>
      </c>
      <c r="C256" s="6" t="s">
        <v>279</v>
      </c>
      <c r="D256" s="4" t="s">
        <v>5</v>
      </c>
      <c r="E256" s="1" t="s">
        <v>6</v>
      </c>
      <c r="F256" s="7">
        <v>0.315</v>
      </c>
      <c r="G256" s="7">
        <v>0.04</v>
      </c>
      <c r="H256" s="7">
        <v>0.35499999999999998</v>
      </c>
    </row>
    <row r="257" spans="1:8" ht="28.8" x14ac:dyDescent="0.3">
      <c r="A257" s="5">
        <v>325612</v>
      </c>
      <c r="B257" s="5">
        <v>325610</v>
      </c>
      <c r="C257" s="6" t="s">
        <v>280</v>
      </c>
      <c r="D257" s="4" t="s">
        <v>5</v>
      </c>
      <c r="E257" s="1" t="s">
        <v>6</v>
      </c>
      <c r="F257" s="7">
        <v>0.315</v>
      </c>
      <c r="G257" s="7">
        <v>0.04</v>
      </c>
      <c r="H257" s="7">
        <v>0.35499999999999998</v>
      </c>
    </row>
    <row r="258" spans="1:8" ht="28.8" x14ac:dyDescent="0.3">
      <c r="A258" s="5">
        <v>325613</v>
      </c>
      <c r="B258" s="5">
        <v>325610</v>
      </c>
      <c r="C258" s="6" t="s">
        <v>281</v>
      </c>
      <c r="D258" s="4" t="s">
        <v>5</v>
      </c>
      <c r="E258" s="1" t="s">
        <v>6</v>
      </c>
      <c r="F258" s="7">
        <v>0.315</v>
      </c>
      <c r="G258" s="7">
        <v>0.04</v>
      </c>
      <c r="H258" s="7">
        <v>0.35499999999999998</v>
      </c>
    </row>
    <row r="259" spans="1:8" ht="28.8" x14ac:dyDescent="0.3">
      <c r="A259" s="5">
        <v>325620</v>
      </c>
      <c r="B259" s="5">
        <v>325620</v>
      </c>
      <c r="C259" s="6" t="s">
        <v>282</v>
      </c>
      <c r="D259" s="4" t="s">
        <v>5</v>
      </c>
      <c r="E259" s="1" t="s">
        <v>6</v>
      </c>
      <c r="F259" s="7">
        <v>0.13600000000000001</v>
      </c>
      <c r="G259" s="7">
        <v>5.8000000000000003E-2</v>
      </c>
      <c r="H259" s="7">
        <v>0.19400000000000001</v>
      </c>
    </row>
    <row r="260" spans="1:8" ht="28.8" x14ac:dyDescent="0.3">
      <c r="A260" s="5">
        <v>325910</v>
      </c>
      <c r="B260" s="5">
        <v>325910</v>
      </c>
      <c r="C260" s="6" t="s">
        <v>283</v>
      </c>
      <c r="D260" s="4" t="s">
        <v>5</v>
      </c>
      <c r="E260" s="1" t="s">
        <v>6</v>
      </c>
      <c r="F260" s="7">
        <v>0.35499999999999998</v>
      </c>
      <c r="G260" s="7">
        <v>3.1E-2</v>
      </c>
      <c r="H260" s="7">
        <v>0.38600000000000001</v>
      </c>
    </row>
    <row r="261" spans="1:8" ht="28.8" x14ac:dyDescent="0.3">
      <c r="A261" s="5">
        <v>325920</v>
      </c>
      <c r="B261" s="5" t="s">
        <v>285</v>
      </c>
      <c r="C261" s="6" t="s">
        <v>284</v>
      </c>
      <c r="D261" s="4" t="s">
        <v>5</v>
      </c>
      <c r="E261" s="1" t="s">
        <v>6</v>
      </c>
      <c r="F261" s="7">
        <v>0.47199999999999998</v>
      </c>
      <c r="G261" s="7">
        <v>2.8000000000000001E-2</v>
      </c>
      <c r="H261" s="7">
        <v>0.5</v>
      </c>
    </row>
    <row r="262" spans="1:8" ht="28.8" x14ac:dyDescent="0.3">
      <c r="A262" s="5">
        <v>325991</v>
      </c>
      <c r="B262" s="5" t="s">
        <v>285</v>
      </c>
      <c r="C262" s="6" t="s">
        <v>286</v>
      </c>
      <c r="D262" s="4" t="s">
        <v>5</v>
      </c>
      <c r="E262" s="1" t="s">
        <v>6</v>
      </c>
      <c r="F262" s="7">
        <v>0.47199999999999998</v>
      </c>
      <c r="G262" s="7">
        <v>2.8000000000000001E-2</v>
      </c>
      <c r="H262" s="7">
        <v>0.5</v>
      </c>
    </row>
    <row r="263" spans="1:8" ht="28.8" x14ac:dyDescent="0.3">
      <c r="A263" s="5">
        <v>325992</v>
      </c>
      <c r="B263" s="5" t="s">
        <v>285</v>
      </c>
      <c r="C263" s="6" t="s">
        <v>287</v>
      </c>
      <c r="D263" s="4" t="s">
        <v>5</v>
      </c>
      <c r="E263" s="1" t="s">
        <v>6</v>
      </c>
      <c r="F263" s="7">
        <v>0.47199999999999998</v>
      </c>
      <c r="G263" s="7">
        <v>2.8000000000000001E-2</v>
      </c>
      <c r="H263" s="7">
        <v>0.5</v>
      </c>
    </row>
    <row r="264" spans="1:8" ht="28.8" x14ac:dyDescent="0.3">
      <c r="A264" s="5">
        <v>325998</v>
      </c>
      <c r="B264" s="5" t="s">
        <v>285</v>
      </c>
      <c r="C264" s="6" t="s">
        <v>288</v>
      </c>
      <c r="D264" s="4" t="s">
        <v>5</v>
      </c>
      <c r="E264" s="1" t="s">
        <v>6</v>
      </c>
      <c r="F264" s="7">
        <v>0.47199999999999998</v>
      </c>
      <c r="G264" s="7">
        <v>2.8000000000000001E-2</v>
      </c>
      <c r="H264" s="7">
        <v>0.5</v>
      </c>
    </row>
    <row r="265" spans="1:8" ht="28.8" x14ac:dyDescent="0.3">
      <c r="A265" s="5">
        <v>326111</v>
      </c>
      <c r="B265" s="5">
        <v>326110</v>
      </c>
      <c r="C265" s="6" t="s">
        <v>289</v>
      </c>
      <c r="D265" s="4" t="s">
        <v>5</v>
      </c>
      <c r="E265" s="1" t="s">
        <v>6</v>
      </c>
      <c r="F265" s="7">
        <v>0.52100000000000002</v>
      </c>
      <c r="G265" s="7">
        <v>2.3E-2</v>
      </c>
      <c r="H265" s="7">
        <v>0.54400000000000004</v>
      </c>
    </row>
    <row r="266" spans="1:8" ht="28.8" x14ac:dyDescent="0.3">
      <c r="A266" s="5">
        <v>326112</v>
      </c>
      <c r="B266" s="5">
        <v>326110</v>
      </c>
      <c r="C266" s="6" t="s">
        <v>290</v>
      </c>
      <c r="D266" s="4" t="s">
        <v>5</v>
      </c>
      <c r="E266" s="1" t="s">
        <v>6</v>
      </c>
      <c r="F266" s="7">
        <v>0.52100000000000002</v>
      </c>
      <c r="G266" s="7">
        <v>2.3E-2</v>
      </c>
      <c r="H266" s="7">
        <v>0.54400000000000004</v>
      </c>
    </row>
    <row r="267" spans="1:8" ht="28.8" x14ac:dyDescent="0.3">
      <c r="A267" s="5">
        <v>326113</v>
      </c>
      <c r="B267" s="5">
        <v>326110</v>
      </c>
      <c r="C267" s="6" t="s">
        <v>291</v>
      </c>
      <c r="D267" s="4" t="s">
        <v>5</v>
      </c>
      <c r="E267" s="1" t="s">
        <v>6</v>
      </c>
      <c r="F267" s="7">
        <v>0.52100000000000002</v>
      </c>
      <c r="G267" s="7">
        <v>2.3E-2</v>
      </c>
      <c r="H267" s="7">
        <v>0.54400000000000004</v>
      </c>
    </row>
    <row r="268" spans="1:8" ht="28.8" x14ac:dyDescent="0.3">
      <c r="A268" s="5">
        <v>326121</v>
      </c>
      <c r="B268" s="5">
        <v>326120</v>
      </c>
      <c r="C268" s="6" t="s">
        <v>292</v>
      </c>
      <c r="D268" s="4" t="s">
        <v>5</v>
      </c>
      <c r="E268" s="1" t="s">
        <v>6</v>
      </c>
      <c r="F268" s="7">
        <v>0.33200000000000002</v>
      </c>
      <c r="G268" s="7">
        <v>1.9E-2</v>
      </c>
      <c r="H268" s="7">
        <v>0.35099999999999998</v>
      </c>
    </row>
    <row r="269" spans="1:8" ht="28.8" x14ac:dyDescent="0.3">
      <c r="A269" s="5">
        <v>326122</v>
      </c>
      <c r="B269" s="5">
        <v>326120</v>
      </c>
      <c r="C269" s="6" t="s">
        <v>293</v>
      </c>
      <c r="D269" s="4" t="s">
        <v>5</v>
      </c>
      <c r="E269" s="1" t="s">
        <v>6</v>
      </c>
      <c r="F269" s="7">
        <v>0.33200000000000002</v>
      </c>
      <c r="G269" s="7">
        <v>1.9E-2</v>
      </c>
      <c r="H269" s="7">
        <v>0.35099999999999998</v>
      </c>
    </row>
    <row r="270" spans="1:8" ht="28.8" x14ac:dyDescent="0.3">
      <c r="A270" s="5">
        <v>326130</v>
      </c>
      <c r="B270" s="5">
        <v>326130</v>
      </c>
      <c r="C270" s="6" t="s">
        <v>294</v>
      </c>
      <c r="D270" s="4" t="s">
        <v>5</v>
      </c>
      <c r="E270" s="1" t="s">
        <v>6</v>
      </c>
      <c r="F270" s="7">
        <v>0.441</v>
      </c>
      <c r="G270" s="7">
        <v>1.9E-2</v>
      </c>
      <c r="H270" s="7">
        <v>0.46</v>
      </c>
    </row>
    <row r="271" spans="1:8" ht="28.8" x14ac:dyDescent="0.3">
      <c r="A271" s="5">
        <v>326140</v>
      </c>
      <c r="B271" s="5">
        <v>326140</v>
      </c>
      <c r="C271" s="6" t="s">
        <v>295</v>
      </c>
      <c r="D271" s="4" t="s">
        <v>5</v>
      </c>
      <c r="E271" s="1" t="s">
        <v>6</v>
      </c>
      <c r="F271" s="7">
        <v>0.247</v>
      </c>
      <c r="G271" s="7">
        <v>2.4E-2</v>
      </c>
      <c r="H271" s="7">
        <v>0.27100000000000002</v>
      </c>
    </row>
    <row r="272" spans="1:8" ht="28.8" x14ac:dyDescent="0.3">
      <c r="A272" s="5">
        <v>326150</v>
      </c>
      <c r="B272" s="5">
        <v>326150</v>
      </c>
      <c r="C272" s="6" t="s">
        <v>296</v>
      </c>
      <c r="D272" s="4" t="s">
        <v>5</v>
      </c>
      <c r="E272" s="1" t="s">
        <v>6</v>
      </c>
      <c r="F272" s="7">
        <v>0.318</v>
      </c>
      <c r="G272" s="7">
        <v>4.2000000000000003E-2</v>
      </c>
      <c r="H272" s="7">
        <v>0.36</v>
      </c>
    </row>
    <row r="273" spans="1:8" ht="28.8" x14ac:dyDescent="0.3">
      <c r="A273" s="5">
        <v>326160</v>
      </c>
      <c r="B273" s="5">
        <v>326160</v>
      </c>
      <c r="C273" s="6" t="s">
        <v>297</v>
      </c>
      <c r="D273" s="4" t="s">
        <v>5</v>
      </c>
      <c r="E273" s="1" t="s">
        <v>6</v>
      </c>
      <c r="F273" s="7">
        <v>0.55300000000000005</v>
      </c>
      <c r="G273" s="7">
        <v>2.5000000000000001E-2</v>
      </c>
      <c r="H273" s="7">
        <v>0.57899999999999996</v>
      </c>
    </row>
    <row r="274" spans="1:8" ht="28.8" x14ac:dyDescent="0.3">
      <c r="A274" s="5">
        <v>326191</v>
      </c>
      <c r="B274" s="5">
        <v>326190</v>
      </c>
      <c r="C274" s="6" t="s">
        <v>298</v>
      </c>
      <c r="D274" s="4" t="s">
        <v>5</v>
      </c>
      <c r="E274" s="1" t="s">
        <v>6</v>
      </c>
      <c r="F274" s="7">
        <v>0.34399999999999997</v>
      </c>
      <c r="G274" s="7">
        <v>2.7E-2</v>
      </c>
      <c r="H274" s="7">
        <v>0.371</v>
      </c>
    </row>
    <row r="275" spans="1:8" ht="28.8" x14ac:dyDescent="0.3">
      <c r="A275" s="5">
        <v>326199</v>
      </c>
      <c r="B275" s="5">
        <v>326190</v>
      </c>
      <c r="C275" s="6" t="s">
        <v>299</v>
      </c>
      <c r="D275" s="4" t="s">
        <v>5</v>
      </c>
      <c r="E275" s="1" t="s">
        <v>6</v>
      </c>
      <c r="F275" s="7">
        <v>0.34399999999999997</v>
      </c>
      <c r="G275" s="7">
        <v>2.7E-2</v>
      </c>
      <c r="H275" s="7">
        <v>0.371</v>
      </c>
    </row>
    <row r="276" spans="1:8" ht="28.8" x14ac:dyDescent="0.3">
      <c r="A276" s="5">
        <v>326211</v>
      </c>
      <c r="B276" s="5">
        <v>326210</v>
      </c>
      <c r="C276" s="6" t="s">
        <v>300</v>
      </c>
      <c r="D276" s="4" t="s">
        <v>5</v>
      </c>
      <c r="E276" s="1" t="s">
        <v>6</v>
      </c>
      <c r="F276" s="7">
        <v>0.23300000000000001</v>
      </c>
      <c r="G276" s="7">
        <v>4.2999999999999997E-2</v>
      </c>
      <c r="H276" s="7">
        <v>0.27600000000000002</v>
      </c>
    </row>
    <row r="277" spans="1:8" ht="28.8" x14ac:dyDescent="0.3">
      <c r="A277" s="5">
        <v>326212</v>
      </c>
      <c r="B277" s="5">
        <v>326210</v>
      </c>
      <c r="C277" s="6" t="s">
        <v>301</v>
      </c>
      <c r="D277" s="4" t="s">
        <v>5</v>
      </c>
      <c r="E277" s="1" t="s">
        <v>6</v>
      </c>
      <c r="F277" s="7">
        <v>0.23300000000000001</v>
      </c>
      <c r="G277" s="7">
        <v>4.2999999999999997E-2</v>
      </c>
      <c r="H277" s="7">
        <v>0.27600000000000002</v>
      </c>
    </row>
    <row r="278" spans="1:8" ht="28.8" x14ac:dyDescent="0.3">
      <c r="A278" s="5">
        <v>326220</v>
      </c>
      <c r="B278" s="5">
        <v>326220</v>
      </c>
      <c r="C278" s="6" t="s">
        <v>302</v>
      </c>
      <c r="D278" s="4" t="s">
        <v>5</v>
      </c>
      <c r="E278" s="1" t="s">
        <v>6</v>
      </c>
      <c r="F278" s="7">
        <v>0.28100000000000003</v>
      </c>
      <c r="G278" s="7">
        <v>2.8000000000000001E-2</v>
      </c>
      <c r="H278" s="7">
        <v>0.309</v>
      </c>
    </row>
    <row r="279" spans="1:8" ht="28.8" x14ac:dyDescent="0.3">
      <c r="A279" s="5">
        <v>326291</v>
      </c>
      <c r="B279" s="5">
        <v>326290</v>
      </c>
      <c r="C279" s="6" t="s">
        <v>303</v>
      </c>
      <c r="D279" s="4" t="s">
        <v>5</v>
      </c>
      <c r="E279" s="1" t="s">
        <v>6</v>
      </c>
      <c r="F279" s="7">
        <v>0.313</v>
      </c>
      <c r="G279" s="7">
        <v>0.03</v>
      </c>
      <c r="H279" s="7">
        <v>0.34300000000000003</v>
      </c>
    </row>
    <row r="280" spans="1:8" ht="28.8" x14ac:dyDescent="0.3">
      <c r="A280" s="5">
        <v>326299</v>
      </c>
      <c r="B280" s="5">
        <v>326290</v>
      </c>
      <c r="C280" s="6" t="s">
        <v>304</v>
      </c>
      <c r="D280" s="4" t="s">
        <v>5</v>
      </c>
      <c r="E280" s="1" t="s">
        <v>6</v>
      </c>
      <c r="F280" s="7">
        <v>0.313</v>
      </c>
      <c r="G280" s="7">
        <v>0.03</v>
      </c>
      <c r="H280" s="7">
        <v>0.34300000000000003</v>
      </c>
    </row>
    <row r="281" spans="1:8" ht="28.8" x14ac:dyDescent="0.3">
      <c r="A281" s="5">
        <v>327110</v>
      </c>
      <c r="B281" s="5">
        <v>327100</v>
      </c>
      <c r="C281" s="6" t="s">
        <v>305</v>
      </c>
      <c r="D281" s="4" t="s">
        <v>5</v>
      </c>
      <c r="E281" s="1" t="s">
        <v>6</v>
      </c>
      <c r="F281" s="7">
        <v>0.39900000000000002</v>
      </c>
      <c r="G281" s="7">
        <v>5.1999999999999998E-2</v>
      </c>
      <c r="H281" s="7">
        <v>0.45100000000000001</v>
      </c>
    </row>
    <row r="282" spans="1:8" ht="28.8" x14ac:dyDescent="0.3">
      <c r="A282" s="5">
        <v>327120</v>
      </c>
      <c r="B282" s="5">
        <v>327100</v>
      </c>
      <c r="C282" s="6" t="s">
        <v>306</v>
      </c>
      <c r="D282" s="4" t="s">
        <v>5</v>
      </c>
      <c r="E282" s="1" t="s">
        <v>6</v>
      </c>
      <c r="F282" s="7">
        <v>0.39900000000000002</v>
      </c>
      <c r="G282" s="7">
        <v>5.1999999999999998E-2</v>
      </c>
      <c r="H282" s="7">
        <v>0.45100000000000001</v>
      </c>
    </row>
    <row r="283" spans="1:8" ht="28.8" x14ac:dyDescent="0.3">
      <c r="A283" s="5">
        <v>327211</v>
      </c>
      <c r="B283" s="5">
        <v>327200</v>
      </c>
      <c r="C283" s="6" t="s">
        <v>307</v>
      </c>
      <c r="D283" s="4" t="s">
        <v>5</v>
      </c>
      <c r="E283" s="1" t="s">
        <v>6</v>
      </c>
      <c r="F283" s="7">
        <v>0.53700000000000003</v>
      </c>
      <c r="G283" s="7">
        <v>0.06</v>
      </c>
      <c r="H283" s="7">
        <v>0.59699999999999998</v>
      </c>
    </row>
    <row r="284" spans="1:8" ht="28.8" x14ac:dyDescent="0.3">
      <c r="A284" s="5">
        <v>327212</v>
      </c>
      <c r="B284" s="5">
        <v>327200</v>
      </c>
      <c r="C284" s="6" t="s">
        <v>308</v>
      </c>
      <c r="D284" s="4" t="s">
        <v>5</v>
      </c>
      <c r="E284" s="1" t="s">
        <v>6</v>
      </c>
      <c r="F284" s="7">
        <v>0.53700000000000003</v>
      </c>
      <c r="G284" s="7">
        <v>0.06</v>
      </c>
      <c r="H284" s="7">
        <v>0.59699999999999998</v>
      </c>
    </row>
    <row r="285" spans="1:8" ht="28.8" x14ac:dyDescent="0.3">
      <c r="A285" s="5">
        <v>327213</v>
      </c>
      <c r="B285" s="5">
        <v>327200</v>
      </c>
      <c r="C285" s="6" t="s">
        <v>309</v>
      </c>
      <c r="D285" s="4" t="s">
        <v>5</v>
      </c>
      <c r="E285" s="1" t="s">
        <v>6</v>
      </c>
      <c r="F285" s="7">
        <v>0.53700000000000003</v>
      </c>
      <c r="G285" s="7">
        <v>0.06</v>
      </c>
      <c r="H285" s="7">
        <v>0.59699999999999998</v>
      </c>
    </row>
    <row r="286" spans="1:8" ht="28.8" x14ac:dyDescent="0.3">
      <c r="A286" s="5">
        <v>327215</v>
      </c>
      <c r="B286" s="5">
        <v>327200</v>
      </c>
      <c r="C286" s="6" t="s">
        <v>310</v>
      </c>
      <c r="D286" s="4" t="s">
        <v>5</v>
      </c>
      <c r="E286" s="1" t="s">
        <v>6</v>
      </c>
      <c r="F286" s="7">
        <v>0.53700000000000003</v>
      </c>
      <c r="G286" s="7">
        <v>0.06</v>
      </c>
      <c r="H286" s="7">
        <v>0.59699999999999998</v>
      </c>
    </row>
    <row r="287" spans="1:8" ht="28.8" x14ac:dyDescent="0.3">
      <c r="A287" s="5">
        <v>327310</v>
      </c>
      <c r="B287" s="5">
        <v>327310</v>
      </c>
      <c r="C287" s="6" t="s">
        <v>311</v>
      </c>
      <c r="D287" s="4" t="s">
        <v>5</v>
      </c>
      <c r="E287" s="1" t="s">
        <v>6</v>
      </c>
      <c r="F287" s="7">
        <v>3.8460000000000001</v>
      </c>
      <c r="G287" s="7">
        <v>7.8E-2</v>
      </c>
      <c r="H287" s="7">
        <v>3.9239999999999999</v>
      </c>
    </row>
    <row r="288" spans="1:8" ht="28.8" x14ac:dyDescent="0.3">
      <c r="A288" s="5">
        <v>327320</v>
      </c>
      <c r="B288" s="5">
        <v>327320</v>
      </c>
      <c r="C288" s="6" t="s">
        <v>312</v>
      </c>
      <c r="D288" s="4" t="s">
        <v>5</v>
      </c>
      <c r="E288" s="1" t="s">
        <v>6</v>
      </c>
      <c r="F288" s="7">
        <v>0.54</v>
      </c>
      <c r="G288" s="7">
        <v>6.7000000000000004E-2</v>
      </c>
      <c r="H288" s="7">
        <v>0.60599999999999998</v>
      </c>
    </row>
    <row r="289" spans="1:8" ht="28.8" x14ac:dyDescent="0.3">
      <c r="A289" s="5">
        <v>327331</v>
      </c>
      <c r="B289" s="5">
        <v>327330</v>
      </c>
      <c r="C289" s="6" t="s">
        <v>313</v>
      </c>
      <c r="D289" s="4" t="s">
        <v>5</v>
      </c>
      <c r="E289" s="1" t="s">
        <v>6</v>
      </c>
      <c r="F289" s="7">
        <v>0.26400000000000001</v>
      </c>
      <c r="G289" s="7">
        <v>6.3E-2</v>
      </c>
      <c r="H289" s="7">
        <v>0.32800000000000001</v>
      </c>
    </row>
    <row r="290" spans="1:8" ht="28.8" x14ac:dyDescent="0.3">
      <c r="A290" s="5">
        <v>327332</v>
      </c>
      <c r="B290" s="5">
        <v>327330</v>
      </c>
      <c r="C290" s="6" t="s">
        <v>314</v>
      </c>
      <c r="D290" s="4" t="s">
        <v>5</v>
      </c>
      <c r="E290" s="1" t="s">
        <v>6</v>
      </c>
      <c r="F290" s="7">
        <v>0.26400000000000001</v>
      </c>
      <c r="G290" s="7">
        <v>6.3E-2</v>
      </c>
      <c r="H290" s="7">
        <v>0.32800000000000001</v>
      </c>
    </row>
    <row r="291" spans="1:8" ht="28.8" x14ac:dyDescent="0.3">
      <c r="A291" s="5">
        <v>327390</v>
      </c>
      <c r="B291" s="5">
        <v>327390</v>
      </c>
      <c r="C291" s="6" t="s">
        <v>315</v>
      </c>
      <c r="D291" s="4" t="s">
        <v>5</v>
      </c>
      <c r="E291" s="1" t="s">
        <v>6</v>
      </c>
      <c r="F291" s="7">
        <v>0.26700000000000002</v>
      </c>
      <c r="G291" s="7">
        <v>0.05</v>
      </c>
      <c r="H291" s="7">
        <v>0.317</v>
      </c>
    </row>
    <row r="292" spans="1:8" ht="28.8" x14ac:dyDescent="0.3">
      <c r="A292" s="5">
        <v>327410</v>
      </c>
      <c r="B292" s="5">
        <v>327400</v>
      </c>
      <c r="C292" s="6" t="s">
        <v>316</v>
      </c>
      <c r="D292" s="4" t="s">
        <v>5</v>
      </c>
      <c r="E292" s="1" t="s">
        <v>6</v>
      </c>
      <c r="F292" s="7">
        <v>1.56</v>
      </c>
      <c r="G292" s="7">
        <v>6.3E-2</v>
      </c>
      <c r="H292" s="7">
        <v>1.623</v>
      </c>
    </row>
    <row r="293" spans="1:8" ht="28.8" x14ac:dyDescent="0.3">
      <c r="A293" s="5">
        <v>327420</v>
      </c>
      <c r="B293" s="5">
        <v>327400</v>
      </c>
      <c r="C293" s="6" t="s">
        <v>317</v>
      </c>
      <c r="D293" s="4" t="s">
        <v>5</v>
      </c>
      <c r="E293" s="1" t="s">
        <v>6</v>
      </c>
      <c r="F293" s="7">
        <v>1.56</v>
      </c>
      <c r="G293" s="7">
        <v>6.3E-2</v>
      </c>
      <c r="H293" s="7">
        <v>1.623</v>
      </c>
    </row>
    <row r="294" spans="1:8" ht="28.8" x14ac:dyDescent="0.3">
      <c r="A294" s="5">
        <v>327910</v>
      </c>
      <c r="B294" s="5">
        <v>327910</v>
      </c>
      <c r="C294" s="6" t="s">
        <v>318</v>
      </c>
      <c r="D294" s="4" t="s">
        <v>5</v>
      </c>
      <c r="E294" s="1" t="s">
        <v>6</v>
      </c>
      <c r="F294" s="7">
        <v>0.13400000000000001</v>
      </c>
      <c r="G294" s="7">
        <v>5.2999999999999999E-2</v>
      </c>
      <c r="H294" s="7">
        <v>0.187</v>
      </c>
    </row>
    <row r="295" spans="1:8" ht="28.8" x14ac:dyDescent="0.3">
      <c r="A295" s="5">
        <v>327991</v>
      </c>
      <c r="B295" s="5">
        <v>327991</v>
      </c>
      <c r="C295" s="6" t="s">
        <v>319</v>
      </c>
      <c r="D295" s="4" t="s">
        <v>5</v>
      </c>
      <c r="E295" s="1" t="s">
        <v>6</v>
      </c>
      <c r="F295" s="7">
        <v>0.14799999999999999</v>
      </c>
      <c r="G295" s="7">
        <v>4.7E-2</v>
      </c>
      <c r="H295" s="7">
        <v>0.19500000000000001</v>
      </c>
    </row>
    <row r="296" spans="1:8" ht="28.8" x14ac:dyDescent="0.3">
      <c r="A296" s="5">
        <v>327992</v>
      </c>
      <c r="B296" s="5">
        <v>327992</v>
      </c>
      <c r="C296" s="6" t="s">
        <v>320</v>
      </c>
      <c r="D296" s="4" t="s">
        <v>5</v>
      </c>
      <c r="E296" s="1" t="s">
        <v>6</v>
      </c>
      <c r="F296" s="7">
        <v>0.375</v>
      </c>
      <c r="G296" s="7">
        <v>0.121</v>
      </c>
      <c r="H296" s="7">
        <v>0.497</v>
      </c>
    </row>
    <row r="297" spans="1:8" ht="28.8" x14ac:dyDescent="0.3">
      <c r="A297" s="5">
        <v>327993</v>
      </c>
      <c r="B297" s="5">
        <v>327993</v>
      </c>
      <c r="C297" s="6" t="s">
        <v>321</v>
      </c>
      <c r="D297" s="4" t="s">
        <v>5</v>
      </c>
      <c r="E297" s="1" t="s">
        <v>6</v>
      </c>
      <c r="F297" s="7">
        <v>0.33900000000000002</v>
      </c>
      <c r="G297" s="7">
        <v>5.2999999999999999E-2</v>
      </c>
      <c r="H297" s="7">
        <v>0.39300000000000002</v>
      </c>
    </row>
    <row r="298" spans="1:8" ht="28.8" x14ac:dyDescent="0.3">
      <c r="A298" s="5">
        <v>327999</v>
      </c>
      <c r="B298" s="5">
        <v>327999</v>
      </c>
      <c r="C298" s="6" t="s">
        <v>322</v>
      </c>
      <c r="D298" s="4" t="s">
        <v>5</v>
      </c>
      <c r="E298" s="1" t="s">
        <v>6</v>
      </c>
      <c r="F298" s="7">
        <v>0.71899999999999997</v>
      </c>
      <c r="G298" s="7">
        <v>6.8000000000000005E-2</v>
      </c>
      <c r="H298" s="7">
        <v>0.78700000000000003</v>
      </c>
    </row>
    <row r="299" spans="1:8" ht="28.8" x14ac:dyDescent="0.3">
      <c r="A299" s="5">
        <v>331110</v>
      </c>
      <c r="B299" s="5">
        <v>331110</v>
      </c>
      <c r="C299" s="6" t="s">
        <v>323</v>
      </c>
      <c r="D299" s="4" t="s">
        <v>5</v>
      </c>
      <c r="E299" s="1" t="s">
        <v>6</v>
      </c>
      <c r="F299" s="7">
        <v>0.76900000000000002</v>
      </c>
      <c r="G299" s="7">
        <v>1.7999999999999999E-2</v>
      </c>
      <c r="H299" s="7">
        <v>0.78700000000000003</v>
      </c>
    </row>
    <row r="300" spans="1:8" ht="28.8" x14ac:dyDescent="0.3">
      <c r="A300" s="5">
        <v>331210</v>
      </c>
      <c r="B300" s="5">
        <v>331200</v>
      </c>
      <c r="C300" s="6" t="s">
        <v>324</v>
      </c>
      <c r="D300" s="4" t="s">
        <v>5</v>
      </c>
      <c r="E300" s="1" t="s">
        <v>6</v>
      </c>
      <c r="F300" s="7">
        <v>0.34300000000000003</v>
      </c>
      <c r="G300" s="7">
        <v>1.7000000000000001E-2</v>
      </c>
      <c r="H300" s="7">
        <v>0.36</v>
      </c>
    </row>
    <row r="301" spans="1:8" ht="28.8" x14ac:dyDescent="0.3">
      <c r="A301" s="5">
        <v>331221</v>
      </c>
      <c r="B301" s="5">
        <v>331200</v>
      </c>
      <c r="C301" s="6" t="s">
        <v>325</v>
      </c>
      <c r="D301" s="4" t="s">
        <v>5</v>
      </c>
      <c r="E301" s="1" t="s">
        <v>6</v>
      </c>
      <c r="F301" s="7">
        <v>0.34300000000000003</v>
      </c>
      <c r="G301" s="7">
        <v>1.7000000000000001E-2</v>
      </c>
      <c r="H301" s="7">
        <v>0.36</v>
      </c>
    </row>
    <row r="302" spans="1:8" ht="28.8" x14ac:dyDescent="0.3">
      <c r="A302" s="5">
        <v>331222</v>
      </c>
      <c r="B302" s="5">
        <v>331200</v>
      </c>
      <c r="C302" s="6" t="s">
        <v>326</v>
      </c>
      <c r="D302" s="4" t="s">
        <v>5</v>
      </c>
      <c r="E302" s="1" t="s">
        <v>6</v>
      </c>
      <c r="F302" s="7">
        <v>0.34300000000000003</v>
      </c>
      <c r="G302" s="7">
        <v>1.7000000000000001E-2</v>
      </c>
      <c r="H302" s="7">
        <v>0.36</v>
      </c>
    </row>
    <row r="303" spans="1:8" ht="28.8" x14ac:dyDescent="0.3">
      <c r="A303" s="5">
        <v>331313</v>
      </c>
      <c r="B303" s="5">
        <v>331313</v>
      </c>
      <c r="C303" s="6" t="s">
        <v>327</v>
      </c>
      <c r="D303" s="4" t="s">
        <v>5</v>
      </c>
      <c r="E303" s="1" t="s">
        <v>6</v>
      </c>
      <c r="F303" s="7">
        <v>1.0029999999999999</v>
      </c>
      <c r="G303" s="7">
        <v>1.4E-2</v>
      </c>
      <c r="H303" s="7">
        <v>1.018</v>
      </c>
    </row>
    <row r="304" spans="1:8" ht="28.8" x14ac:dyDescent="0.3">
      <c r="A304" s="5">
        <v>331315</v>
      </c>
      <c r="B304" s="5" t="s">
        <v>329</v>
      </c>
      <c r="C304" s="6" t="s">
        <v>328</v>
      </c>
      <c r="D304" s="4" t="s">
        <v>5</v>
      </c>
      <c r="E304" s="1" t="s">
        <v>6</v>
      </c>
      <c r="F304" s="7">
        <v>0.7</v>
      </c>
      <c r="G304" s="7">
        <v>2.1000000000000001E-2</v>
      </c>
      <c r="H304" s="7">
        <v>0.72099999999999997</v>
      </c>
    </row>
    <row r="305" spans="1:8" ht="28.8" x14ac:dyDescent="0.3">
      <c r="A305" s="5">
        <v>331318</v>
      </c>
      <c r="B305" s="5" t="s">
        <v>329</v>
      </c>
      <c r="C305" s="6" t="s">
        <v>330</v>
      </c>
      <c r="D305" s="4" t="s">
        <v>5</v>
      </c>
      <c r="E305" s="1" t="s">
        <v>6</v>
      </c>
      <c r="F305" s="7">
        <v>0.7</v>
      </c>
      <c r="G305" s="7">
        <v>2.1000000000000001E-2</v>
      </c>
      <c r="H305" s="7">
        <v>0.72099999999999997</v>
      </c>
    </row>
    <row r="306" spans="1:8" ht="28.8" x14ac:dyDescent="0.3">
      <c r="A306" s="5">
        <v>331410</v>
      </c>
      <c r="B306" s="5">
        <v>331410</v>
      </c>
      <c r="C306" s="6" t="s">
        <v>331</v>
      </c>
      <c r="D306" s="4" t="s">
        <v>5</v>
      </c>
      <c r="E306" s="1" t="s">
        <v>6</v>
      </c>
      <c r="F306" s="7">
        <v>0.40799999999999997</v>
      </c>
      <c r="G306" s="7">
        <v>1.6E-2</v>
      </c>
      <c r="H306" s="7">
        <v>0.42299999999999999</v>
      </c>
    </row>
    <row r="307" spans="1:8" ht="28.8" x14ac:dyDescent="0.3">
      <c r="A307" s="5">
        <v>331420</v>
      </c>
      <c r="B307" s="5">
        <v>331420</v>
      </c>
      <c r="C307" s="6" t="s">
        <v>332</v>
      </c>
      <c r="D307" s="4" t="s">
        <v>5</v>
      </c>
      <c r="E307" s="1" t="s">
        <v>6</v>
      </c>
      <c r="F307" s="7">
        <v>0.316</v>
      </c>
      <c r="G307" s="7">
        <v>1.9E-2</v>
      </c>
      <c r="H307" s="7">
        <v>0.33400000000000002</v>
      </c>
    </row>
    <row r="308" spans="1:8" ht="28.8" x14ac:dyDescent="0.3">
      <c r="A308" s="5">
        <v>331491</v>
      </c>
      <c r="B308" s="5">
        <v>331490</v>
      </c>
      <c r="C308" s="6" t="s">
        <v>333</v>
      </c>
      <c r="D308" s="4" t="s">
        <v>5</v>
      </c>
      <c r="E308" s="1" t="s">
        <v>6</v>
      </c>
      <c r="F308" s="7">
        <v>0.41399999999999998</v>
      </c>
      <c r="G308" s="7">
        <v>1.7999999999999999E-2</v>
      </c>
      <c r="H308" s="7">
        <v>0.43099999999999999</v>
      </c>
    </row>
    <row r="309" spans="1:8" ht="43.2" x14ac:dyDescent="0.3">
      <c r="A309" s="5">
        <v>331492</v>
      </c>
      <c r="B309" s="5">
        <v>331490</v>
      </c>
      <c r="C309" s="6" t="s">
        <v>334</v>
      </c>
      <c r="D309" s="4" t="s">
        <v>5</v>
      </c>
      <c r="E309" s="1" t="s">
        <v>6</v>
      </c>
      <c r="F309" s="7">
        <v>0.41399999999999998</v>
      </c>
      <c r="G309" s="7">
        <v>1.7999999999999999E-2</v>
      </c>
      <c r="H309" s="7">
        <v>0.43099999999999999</v>
      </c>
    </row>
    <row r="310" spans="1:8" ht="28.8" x14ac:dyDescent="0.3">
      <c r="A310" s="5">
        <v>331511</v>
      </c>
      <c r="B310" s="5">
        <v>331510</v>
      </c>
      <c r="C310" s="6" t="s">
        <v>335</v>
      </c>
      <c r="D310" s="4" t="s">
        <v>5</v>
      </c>
      <c r="E310" s="1" t="s">
        <v>6</v>
      </c>
      <c r="F310" s="7">
        <v>0.34899999999999998</v>
      </c>
      <c r="G310" s="7">
        <v>2.1000000000000001E-2</v>
      </c>
      <c r="H310" s="7">
        <v>0.36899999999999999</v>
      </c>
    </row>
    <row r="311" spans="1:8" ht="28.8" x14ac:dyDescent="0.3">
      <c r="A311" s="5">
        <v>331512</v>
      </c>
      <c r="B311" s="5">
        <v>331510</v>
      </c>
      <c r="C311" s="6" t="s">
        <v>336</v>
      </c>
      <c r="D311" s="4" t="s">
        <v>5</v>
      </c>
      <c r="E311" s="1" t="s">
        <v>6</v>
      </c>
      <c r="F311" s="7">
        <v>0.34899999999999998</v>
      </c>
      <c r="G311" s="7">
        <v>2.1000000000000001E-2</v>
      </c>
      <c r="H311" s="7">
        <v>0.36899999999999999</v>
      </c>
    </row>
    <row r="312" spans="1:8" ht="28.8" x14ac:dyDescent="0.3">
      <c r="A312" s="5">
        <v>331513</v>
      </c>
      <c r="B312" s="5">
        <v>331510</v>
      </c>
      <c r="C312" s="6" t="s">
        <v>337</v>
      </c>
      <c r="D312" s="4" t="s">
        <v>5</v>
      </c>
      <c r="E312" s="1" t="s">
        <v>6</v>
      </c>
      <c r="F312" s="7">
        <v>0.34899999999999998</v>
      </c>
      <c r="G312" s="7">
        <v>2.1000000000000001E-2</v>
      </c>
      <c r="H312" s="7">
        <v>0.36899999999999999</v>
      </c>
    </row>
    <row r="313" spans="1:8" ht="28.8" x14ac:dyDescent="0.3">
      <c r="A313" s="5">
        <v>331523</v>
      </c>
      <c r="B313" s="5">
        <v>331520</v>
      </c>
      <c r="C313" s="6" t="s">
        <v>338</v>
      </c>
      <c r="D313" s="4" t="s">
        <v>5</v>
      </c>
      <c r="E313" s="1" t="s">
        <v>6</v>
      </c>
      <c r="F313" s="7">
        <v>0.438</v>
      </c>
      <c r="G313" s="7">
        <v>2.5000000000000001E-2</v>
      </c>
      <c r="H313" s="7">
        <v>0.46200000000000002</v>
      </c>
    </row>
    <row r="314" spans="1:8" ht="28.8" x14ac:dyDescent="0.3">
      <c r="A314" s="5">
        <v>331524</v>
      </c>
      <c r="B314" s="5">
        <v>331520</v>
      </c>
      <c r="C314" s="6" t="s">
        <v>339</v>
      </c>
      <c r="D314" s="4" t="s">
        <v>5</v>
      </c>
      <c r="E314" s="1" t="s">
        <v>6</v>
      </c>
      <c r="F314" s="7">
        <v>0.438</v>
      </c>
      <c r="G314" s="7">
        <v>2.5000000000000001E-2</v>
      </c>
      <c r="H314" s="7">
        <v>0.46200000000000002</v>
      </c>
    </row>
    <row r="315" spans="1:8" ht="28.8" x14ac:dyDescent="0.3">
      <c r="A315" s="5">
        <v>331529</v>
      </c>
      <c r="B315" s="5">
        <v>331520</v>
      </c>
      <c r="C315" s="6" t="s">
        <v>340</v>
      </c>
      <c r="D315" s="4" t="s">
        <v>5</v>
      </c>
      <c r="E315" s="1" t="s">
        <v>6</v>
      </c>
      <c r="F315" s="7">
        <v>0.438</v>
      </c>
      <c r="G315" s="7">
        <v>2.5000000000000001E-2</v>
      </c>
      <c r="H315" s="7">
        <v>0.46200000000000002</v>
      </c>
    </row>
    <row r="316" spans="1:8" ht="28.8" x14ac:dyDescent="0.3">
      <c r="A316" s="5">
        <v>332111</v>
      </c>
      <c r="B316" s="5" t="s">
        <v>342</v>
      </c>
      <c r="C316" s="6" t="s">
        <v>341</v>
      </c>
      <c r="D316" s="4" t="s">
        <v>5</v>
      </c>
      <c r="E316" s="1" t="s">
        <v>6</v>
      </c>
      <c r="F316" s="7">
        <v>0.47</v>
      </c>
      <c r="G316" s="7">
        <v>2.3E-2</v>
      </c>
      <c r="H316" s="7">
        <v>0.49299999999999999</v>
      </c>
    </row>
    <row r="317" spans="1:8" ht="28.8" x14ac:dyDescent="0.3">
      <c r="A317" s="5">
        <v>332112</v>
      </c>
      <c r="B317" s="5" t="s">
        <v>342</v>
      </c>
      <c r="C317" s="6" t="s">
        <v>343</v>
      </c>
      <c r="D317" s="4" t="s">
        <v>5</v>
      </c>
      <c r="E317" s="1" t="s">
        <v>6</v>
      </c>
      <c r="F317" s="7">
        <v>0.47</v>
      </c>
      <c r="G317" s="7">
        <v>2.3E-2</v>
      </c>
      <c r="H317" s="7">
        <v>0.49299999999999999</v>
      </c>
    </row>
    <row r="318" spans="1:8" ht="28.8" x14ac:dyDescent="0.3">
      <c r="A318" s="5">
        <v>332114</v>
      </c>
      <c r="B318" s="5">
        <v>332114</v>
      </c>
      <c r="C318" s="6" t="s">
        <v>344</v>
      </c>
      <c r="D318" s="4" t="s">
        <v>5</v>
      </c>
      <c r="E318" s="1" t="s">
        <v>6</v>
      </c>
      <c r="F318" s="7">
        <v>0.34899999999999998</v>
      </c>
      <c r="G318" s="7">
        <v>1.2999999999999999E-2</v>
      </c>
      <c r="H318" s="7">
        <v>0.36199999999999999</v>
      </c>
    </row>
    <row r="319" spans="1:8" ht="28.8" x14ac:dyDescent="0.3">
      <c r="A319" s="5">
        <v>332117</v>
      </c>
      <c r="B319" s="5" t="s">
        <v>342</v>
      </c>
      <c r="C319" s="6" t="s">
        <v>345</v>
      </c>
      <c r="D319" s="4" t="s">
        <v>5</v>
      </c>
      <c r="E319" s="1" t="s">
        <v>6</v>
      </c>
      <c r="F319" s="7">
        <v>0.47</v>
      </c>
      <c r="G319" s="7">
        <v>2.3E-2</v>
      </c>
      <c r="H319" s="7">
        <v>0.49299999999999999</v>
      </c>
    </row>
    <row r="320" spans="1:8" ht="28.8" x14ac:dyDescent="0.3">
      <c r="A320" s="5">
        <v>332119</v>
      </c>
      <c r="B320" s="5">
        <v>332119</v>
      </c>
      <c r="C320" s="6" t="s">
        <v>346</v>
      </c>
      <c r="D320" s="4" t="s">
        <v>5</v>
      </c>
      <c r="E320" s="1" t="s">
        <v>6</v>
      </c>
      <c r="F320" s="7">
        <v>0.29299999999999998</v>
      </c>
      <c r="G320" s="7">
        <v>2.5999999999999999E-2</v>
      </c>
      <c r="H320" s="7">
        <v>0.31900000000000001</v>
      </c>
    </row>
    <row r="321" spans="1:8" ht="43.2" x14ac:dyDescent="0.3">
      <c r="A321" s="5">
        <v>332215</v>
      </c>
      <c r="B321" s="5">
        <v>332200</v>
      </c>
      <c r="C321" s="6" t="s">
        <v>347</v>
      </c>
      <c r="D321" s="4" t="s">
        <v>5</v>
      </c>
      <c r="E321" s="1" t="s">
        <v>6</v>
      </c>
      <c r="F321" s="7">
        <v>0.17399999999999999</v>
      </c>
      <c r="G321" s="7">
        <v>4.9000000000000002E-2</v>
      </c>
      <c r="H321" s="7">
        <v>0.223</v>
      </c>
    </row>
    <row r="322" spans="1:8" ht="28.8" x14ac:dyDescent="0.3">
      <c r="A322" s="5">
        <v>332216</v>
      </c>
      <c r="B322" s="5">
        <v>332200</v>
      </c>
      <c r="C322" s="6" t="s">
        <v>348</v>
      </c>
      <c r="D322" s="4" t="s">
        <v>5</v>
      </c>
      <c r="E322" s="1" t="s">
        <v>6</v>
      </c>
      <c r="F322" s="7">
        <v>0.17399999999999999</v>
      </c>
      <c r="G322" s="7">
        <v>4.9000000000000002E-2</v>
      </c>
      <c r="H322" s="7">
        <v>0.223</v>
      </c>
    </row>
    <row r="323" spans="1:8" ht="28.8" x14ac:dyDescent="0.3">
      <c r="A323" s="5">
        <v>332311</v>
      </c>
      <c r="B323" s="5">
        <v>332310</v>
      </c>
      <c r="C323" s="6" t="s">
        <v>349</v>
      </c>
      <c r="D323" s="4" t="s">
        <v>5</v>
      </c>
      <c r="E323" s="1" t="s">
        <v>6</v>
      </c>
      <c r="F323" s="7">
        <v>0.246</v>
      </c>
      <c r="G323" s="7">
        <v>1.7000000000000001E-2</v>
      </c>
      <c r="H323" s="7">
        <v>0.26200000000000001</v>
      </c>
    </row>
    <row r="324" spans="1:8" ht="28.8" x14ac:dyDescent="0.3">
      <c r="A324" s="5">
        <v>332312</v>
      </c>
      <c r="B324" s="5">
        <v>332310</v>
      </c>
      <c r="C324" s="6" t="s">
        <v>350</v>
      </c>
      <c r="D324" s="4" t="s">
        <v>5</v>
      </c>
      <c r="E324" s="1" t="s">
        <v>6</v>
      </c>
      <c r="F324" s="7">
        <v>0.246</v>
      </c>
      <c r="G324" s="7">
        <v>1.7000000000000001E-2</v>
      </c>
      <c r="H324" s="7">
        <v>0.26200000000000001</v>
      </c>
    </row>
    <row r="325" spans="1:8" ht="28.8" x14ac:dyDescent="0.3">
      <c r="A325" s="5">
        <v>332313</v>
      </c>
      <c r="B325" s="5">
        <v>332310</v>
      </c>
      <c r="C325" s="6" t="s">
        <v>351</v>
      </c>
      <c r="D325" s="4" t="s">
        <v>5</v>
      </c>
      <c r="E325" s="1" t="s">
        <v>6</v>
      </c>
      <c r="F325" s="7">
        <v>0.246</v>
      </c>
      <c r="G325" s="7">
        <v>1.7000000000000001E-2</v>
      </c>
      <c r="H325" s="7">
        <v>0.26200000000000001</v>
      </c>
    </row>
    <row r="326" spans="1:8" ht="28.8" x14ac:dyDescent="0.3">
      <c r="A326" s="5">
        <v>332321</v>
      </c>
      <c r="B326" s="5">
        <v>332320</v>
      </c>
      <c r="C326" s="6" t="s">
        <v>352</v>
      </c>
      <c r="D326" s="4" t="s">
        <v>5</v>
      </c>
      <c r="E326" s="1" t="s">
        <v>6</v>
      </c>
      <c r="F326" s="7">
        <v>0.19500000000000001</v>
      </c>
      <c r="G326" s="7">
        <v>2.5999999999999999E-2</v>
      </c>
      <c r="H326" s="7">
        <v>0.221</v>
      </c>
    </row>
    <row r="327" spans="1:8" ht="28.8" x14ac:dyDescent="0.3">
      <c r="A327" s="5">
        <v>332322</v>
      </c>
      <c r="B327" s="5">
        <v>332320</v>
      </c>
      <c r="C327" s="6" t="s">
        <v>353</v>
      </c>
      <c r="D327" s="4" t="s">
        <v>5</v>
      </c>
      <c r="E327" s="1" t="s">
        <v>6</v>
      </c>
      <c r="F327" s="7">
        <v>0.19500000000000001</v>
      </c>
      <c r="G327" s="7">
        <v>2.5999999999999999E-2</v>
      </c>
      <c r="H327" s="7">
        <v>0.221</v>
      </c>
    </row>
    <row r="328" spans="1:8" ht="28.8" x14ac:dyDescent="0.3">
      <c r="A328" s="5">
        <v>332323</v>
      </c>
      <c r="B328" s="5">
        <v>332320</v>
      </c>
      <c r="C328" s="6" t="s">
        <v>354</v>
      </c>
      <c r="D328" s="4" t="s">
        <v>5</v>
      </c>
      <c r="E328" s="1" t="s">
        <v>6</v>
      </c>
      <c r="F328" s="7">
        <v>0.19500000000000001</v>
      </c>
      <c r="G328" s="7">
        <v>2.5999999999999999E-2</v>
      </c>
      <c r="H328" s="7">
        <v>0.221</v>
      </c>
    </row>
    <row r="329" spans="1:8" ht="28.8" x14ac:dyDescent="0.3">
      <c r="A329" s="5">
        <v>332410</v>
      </c>
      <c r="B329" s="5">
        <v>332410</v>
      </c>
      <c r="C329" s="6" t="s">
        <v>355</v>
      </c>
      <c r="D329" s="4" t="s">
        <v>5</v>
      </c>
      <c r="E329" s="1" t="s">
        <v>6</v>
      </c>
      <c r="F329" s="7">
        <v>0.182</v>
      </c>
      <c r="G329" s="7">
        <v>2.7E-2</v>
      </c>
      <c r="H329" s="7">
        <v>0.20899999999999999</v>
      </c>
    </row>
    <row r="330" spans="1:8" ht="28.8" x14ac:dyDescent="0.3">
      <c r="A330" s="5">
        <v>332420</v>
      </c>
      <c r="B330" s="5">
        <v>332420</v>
      </c>
      <c r="C330" s="6" t="s">
        <v>356</v>
      </c>
      <c r="D330" s="4" t="s">
        <v>5</v>
      </c>
      <c r="E330" s="1" t="s">
        <v>6</v>
      </c>
      <c r="F330" s="7">
        <v>0.26700000000000002</v>
      </c>
      <c r="G330" s="7">
        <v>1.2E-2</v>
      </c>
      <c r="H330" s="7">
        <v>0.27900000000000003</v>
      </c>
    </row>
    <row r="331" spans="1:8" ht="28.8" x14ac:dyDescent="0.3">
      <c r="A331" s="5">
        <v>332431</v>
      </c>
      <c r="B331" s="5">
        <v>332430</v>
      </c>
      <c r="C331" s="6" t="s">
        <v>357</v>
      </c>
      <c r="D331" s="4" t="s">
        <v>5</v>
      </c>
      <c r="E331" s="1" t="s">
        <v>6</v>
      </c>
      <c r="F331" s="7">
        <v>0.30199999999999999</v>
      </c>
      <c r="G331" s="7">
        <v>1.6E-2</v>
      </c>
      <c r="H331" s="7">
        <v>0.318</v>
      </c>
    </row>
    <row r="332" spans="1:8" ht="28.8" x14ac:dyDescent="0.3">
      <c r="A332" s="5">
        <v>332439</v>
      </c>
      <c r="B332" s="5">
        <v>332430</v>
      </c>
      <c r="C332" s="6" t="s">
        <v>358</v>
      </c>
      <c r="D332" s="4" t="s">
        <v>5</v>
      </c>
      <c r="E332" s="1" t="s">
        <v>6</v>
      </c>
      <c r="F332" s="7">
        <v>0.30199999999999999</v>
      </c>
      <c r="G332" s="7">
        <v>1.6E-2</v>
      </c>
      <c r="H332" s="7">
        <v>0.318</v>
      </c>
    </row>
    <row r="333" spans="1:8" ht="28.8" x14ac:dyDescent="0.3">
      <c r="A333" s="5">
        <v>332510</v>
      </c>
      <c r="B333" s="5">
        <v>332500</v>
      </c>
      <c r="C333" s="6" t="s">
        <v>359</v>
      </c>
      <c r="D333" s="4" t="s">
        <v>5</v>
      </c>
      <c r="E333" s="1" t="s">
        <v>6</v>
      </c>
      <c r="F333" s="7">
        <v>0.157</v>
      </c>
      <c r="G333" s="7">
        <v>3.4000000000000002E-2</v>
      </c>
      <c r="H333" s="7">
        <v>0.191</v>
      </c>
    </row>
    <row r="334" spans="1:8" ht="28.8" x14ac:dyDescent="0.3">
      <c r="A334" s="5">
        <v>332613</v>
      </c>
      <c r="B334" s="5">
        <v>332600</v>
      </c>
      <c r="C334" s="6" t="s">
        <v>360</v>
      </c>
      <c r="D334" s="4" t="s">
        <v>5</v>
      </c>
      <c r="E334" s="1" t="s">
        <v>6</v>
      </c>
      <c r="F334" s="7">
        <v>0.219</v>
      </c>
      <c r="G334" s="7">
        <v>1.4E-2</v>
      </c>
      <c r="H334" s="7">
        <v>0.23300000000000001</v>
      </c>
    </row>
    <row r="335" spans="1:8" ht="28.8" x14ac:dyDescent="0.3">
      <c r="A335" s="5">
        <v>332618</v>
      </c>
      <c r="B335" s="5">
        <v>332600</v>
      </c>
      <c r="C335" s="6" t="s">
        <v>361</v>
      </c>
      <c r="D335" s="4" t="s">
        <v>5</v>
      </c>
      <c r="E335" s="1" t="s">
        <v>6</v>
      </c>
      <c r="F335" s="7">
        <v>0.219</v>
      </c>
      <c r="G335" s="7">
        <v>1.4E-2</v>
      </c>
      <c r="H335" s="7">
        <v>0.23300000000000001</v>
      </c>
    </row>
    <row r="336" spans="1:8" ht="28.8" x14ac:dyDescent="0.3">
      <c r="A336" s="5">
        <v>332710</v>
      </c>
      <c r="B336" s="5">
        <v>332710</v>
      </c>
      <c r="C336" s="6" t="s">
        <v>362</v>
      </c>
      <c r="D336" s="4" t="s">
        <v>5</v>
      </c>
      <c r="E336" s="1" t="s">
        <v>6</v>
      </c>
      <c r="F336" s="7">
        <v>0.26200000000000001</v>
      </c>
      <c r="G336" s="7">
        <v>1.6E-2</v>
      </c>
      <c r="H336" s="7">
        <v>0.27800000000000002</v>
      </c>
    </row>
    <row r="337" spans="1:8" ht="28.8" x14ac:dyDescent="0.3">
      <c r="A337" s="5">
        <v>332721</v>
      </c>
      <c r="B337" s="5">
        <v>332720</v>
      </c>
      <c r="C337" s="6" t="s">
        <v>363</v>
      </c>
      <c r="D337" s="4" t="s">
        <v>5</v>
      </c>
      <c r="E337" s="1" t="s">
        <v>6</v>
      </c>
      <c r="F337" s="7">
        <v>0.222</v>
      </c>
      <c r="G337" s="7">
        <v>2.5999999999999999E-2</v>
      </c>
      <c r="H337" s="7">
        <v>0.248</v>
      </c>
    </row>
    <row r="338" spans="1:8" ht="28.8" x14ac:dyDescent="0.3">
      <c r="A338" s="5">
        <v>332722</v>
      </c>
      <c r="B338" s="5">
        <v>332720</v>
      </c>
      <c r="C338" s="6" t="s">
        <v>364</v>
      </c>
      <c r="D338" s="4" t="s">
        <v>5</v>
      </c>
      <c r="E338" s="1" t="s">
        <v>6</v>
      </c>
      <c r="F338" s="7">
        <v>0.222</v>
      </c>
      <c r="G338" s="7">
        <v>2.5999999999999999E-2</v>
      </c>
      <c r="H338" s="7">
        <v>0.248</v>
      </c>
    </row>
    <row r="339" spans="1:8" ht="28.8" x14ac:dyDescent="0.3">
      <c r="A339" s="5">
        <v>332811</v>
      </c>
      <c r="B339" s="5">
        <v>332800</v>
      </c>
      <c r="C339" s="6" t="s">
        <v>365</v>
      </c>
      <c r="D339" s="4" t="s">
        <v>5</v>
      </c>
      <c r="E339" s="1" t="s">
        <v>6</v>
      </c>
      <c r="F339" s="7">
        <v>0.36799999999999999</v>
      </c>
      <c r="G339" s="7">
        <v>1.4999999999999999E-2</v>
      </c>
      <c r="H339" s="7">
        <v>0.38200000000000001</v>
      </c>
    </row>
    <row r="340" spans="1:8" ht="43.2" x14ac:dyDescent="0.3">
      <c r="A340" s="5">
        <v>332812</v>
      </c>
      <c r="B340" s="5">
        <v>332800</v>
      </c>
      <c r="C340" s="6" t="s">
        <v>366</v>
      </c>
      <c r="D340" s="4" t="s">
        <v>5</v>
      </c>
      <c r="E340" s="1" t="s">
        <v>6</v>
      </c>
      <c r="F340" s="7">
        <v>0.36799999999999999</v>
      </c>
      <c r="G340" s="7">
        <v>1.4999999999999999E-2</v>
      </c>
      <c r="H340" s="7">
        <v>0.38200000000000001</v>
      </c>
    </row>
    <row r="341" spans="1:8" ht="28.8" x14ac:dyDescent="0.3">
      <c r="A341" s="5">
        <v>332813</v>
      </c>
      <c r="B341" s="5">
        <v>332800</v>
      </c>
      <c r="C341" s="6" t="s">
        <v>367</v>
      </c>
      <c r="D341" s="4" t="s">
        <v>5</v>
      </c>
      <c r="E341" s="1" t="s">
        <v>6</v>
      </c>
      <c r="F341" s="7">
        <v>0.36799999999999999</v>
      </c>
      <c r="G341" s="7">
        <v>1.4999999999999999E-2</v>
      </c>
      <c r="H341" s="7">
        <v>0.38200000000000001</v>
      </c>
    </row>
    <row r="342" spans="1:8" ht="28.8" x14ac:dyDescent="0.3">
      <c r="A342" s="5">
        <v>332911</v>
      </c>
      <c r="B342" s="5" t="s">
        <v>369</v>
      </c>
      <c r="C342" s="6" t="s">
        <v>368</v>
      </c>
      <c r="D342" s="4" t="s">
        <v>5</v>
      </c>
      <c r="E342" s="1" t="s">
        <v>6</v>
      </c>
      <c r="F342" s="7">
        <v>0.14599999999999999</v>
      </c>
      <c r="G342" s="7">
        <v>2.7E-2</v>
      </c>
      <c r="H342" s="7">
        <v>0.17299999999999999</v>
      </c>
    </row>
    <row r="343" spans="1:8" ht="28.8" x14ac:dyDescent="0.3">
      <c r="A343" s="5">
        <v>332912</v>
      </c>
      <c r="B343" s="5" t="s">
        <v>369</v>
      </c>
      <c r="C343" s="6" t="s">
        <v>370</v>
      </c>
      <c r="D343" s="4" t="s">
        <v>5</v>
      </c>
      <c r="E343" s="1" t="s">
        <v>6</v>
      </c>
      <c r="F343" s="7">
        <v>0.14599999999999999</v>
      </c>
      <c r="G343" s="7">
        <v>2.7E-2</v>
      </c>
      <c r="H343" s="7">
        <v>0.17299999999999999</v>
      </c>
    </row>
    <row r="344" spans="1:8" ht="28.8" x14ac:dyDescent="0.3">
      <c r="A344" s="5">
        <v>332913</v>
      </c>
      <c r="B344" s="5">
        <v>332913</v>
      </c>
      <c r="C344" s="6" t="s">
        <v>371</v>
      </c>
      <c r="D344" s="4" t="s">
        <v>5</v>
      </c>
      <c r="E344" s="1" t="s">
        <v>6</v>
      </c>
      <c r="F344" s="7">
        <v>0.126</v>
      </c>
      <c r="G344" s="7">
        <v>4.4999999999999998E-2</v>
      </c>
      <c r="H344" s="7">
        <v>0.17100000000000001</v>
      </c>
    </row>
    <row r="345" spans="1:8" ht="28.8" x14ac:dyDescent="0.3">
      <c r="A345" s="5">
        <v>332919</v>
      </c>
      <c r="B345" s="5" t="s">
        <v>369</v>
      </c>
      <c r="C345" s="6" t="s">
        <v>372</v>
      </c>
      <c r="D345" s="4" t="s">
        <v>5</v>
      </c>
      <c r="E345" s="1" t="s">
        <v>6</v>
      </c>
      <c r="F345" s="7">
        <v>0.14599999999999999</v>
      </c>
      <c r="G345" s="7">
        <v>2.7E-2</v>
      </c>
      <c r="H345" s="7">
        <v>0.17299999999999999</v>
      </c>
    </row>
    <row r="346" spans="1:8" ht="28.8" x14ac:dyDescent="0.3">
      <c r="A346" s="5">
        <v>332991</v>
      </c>
      <c r="B346" s="5">
        <v>332991</v>
      </c>
      <c r="C346" s="6" t="s">
        <v>373</v>
      </c>
      <c r="D346" s="4" t="s">
        <v>5</v>
      </c>
      <c r="E346" s="1" t="s">
        <v>6</v>
      </c>
      <c r="F346" s="7">
        <v>0.17899999999999999</v>
      </c>
      <c r="G346" s="7">
        <v>2.4E-2</v>
      </c>
      <c r="H346" s="7">
        <v>0.20300000000000001</v>
      </c>
    </row>
    <row r="347" spans="1:8" ht="28.8" x14ac:dyDescent="0.3">
      <c r="A347" s="5">
        <v>332992</v>
      </c>
      <c r="B347" s="5" t="s">
        <v>375</v>
      </c>
      <c r="C347" s="6" t="s">
        <v>374</v>
      </c>
      <c r="D347" s="4" t="s">
        <v>5</v>
      </c>
      <c r="E347" s="1" t="s">
        <v>6</v>
      </c>
      <c r="F347" s="7">
        <v>0.115</v>
      </c>
      <c r="G347" s="7">
        <v>5.3999999999999999E-2</v>
      </c>
      <c r="H347" s="7">
        <v>0.16800000000000001</v>
      </c>
    </row>
    <row r="348" spans="1:8" ht="28.8" x14ac:dyDescent="0.3">
      <c r="A348" s="5">
        <v>332993</v>
      </c>
      <c r="B348" s="5" t="s">
        <v>375</v>
      </c>
      <c r="C348" s="6" t="s">
        <v>376</v>
      </c>
      <c r="D348" s="4" t="s">
        <v>5</v>
      </c>
      <c r="E348" s="1" t="s">
        <v>6</v>
      </c>
      <c r="F348" s="7">
        <v>0.115</v>
      </c>
      <c r="G348" s="7">
        <v>5.3999999999999999E-2</v>
      </c>
      <c r="H348" s="7">
        <v>0.16800000000000001</v>
      </c>
    </row>
    <row r="349" spans="1:8" ht="28.8" x14ac:dyDescent="0.3">
      <c r="A349" s="5">
        <v>332994</v>
      </c>
      <c r="B349" s="5" t="s">
        <v>375</v>
      </c>
      <c r="C349" s="6" t="s">
        <v>377</v>
      </c>
      <c r="D349" s="4" t="s">
        <v>5</v>
      </c>
      <c r="E349" s="1" t="s">
        <v>6</v>
      </c>
      <c r="F349" s="7">
        <v>0.115</v>
      </c>
      <c r="G349" s="7">
        <v>5.3999999999999999E-2</v>
      </c>
      <c r="H349" s="7">
        <v>0.16800000000000001</v>
      </c>
    </row>
    <row r="350" spans="1:8" ht="28.8" x14ac:dyDescent="0.3">
      <c r="A350" s="5">
        <v>332996</v>
      </c>
      <c r="B350" s="5">
        <v>332996</v>
      </c>
      <c r="C350" s="6" t="s">
        <v>378</v>
      </c>
      <c r="D350" s="4" t="s">
        <v>5</v>
      </c>
      <c r="E350" s="1" t="s">
        <v>6</v>
      </c>
      <c r="F350" s="7">
        <v>0.21199999999999999</v>
      </c>
      <c r="G350" s="7">
        <v>2.5999999999999999E-2</v>
      </c>
      <c r="H350" s="7">
        <v>0.23799999999999999</v>
      </c>
    </row>
    <row r="351" spans="1:8" ht="28.8" x14ac:dyDescent="0.3">
      <c r="A351" s="5">
        <v>332999</v>
      </c>
      <c r="B351" s="5">
        <v>332999</v>
      </c>
      <c r="C351" s="6" t="s">
        <v>379</v>
      </c>
      <c r="D351" s="4" t="s">
        <v>5</v>
      </c>
      <c r="E351" s="1" t="s">
        <v>6</v>
      </c>
      <c r="F351" s="7">
        <v>0.248</v>
      </c>
      <c r="G351" s="7">
        <v>2.4E-2</v>
      </c>
      <c r="H351" s="7">
        <v>0.27200000000000002</v>
      </c>
    </row>
    <row r="352" spans="1:8" ht="28.8" x14ac:dyDescent="0.3">
      <c r="A352" s="5">
        <v>333111</v>
      </c>
      <c r="B352" s="5">
        <v>333111</v>
      </c>
      <c r="C352" s="6" t="s">
        <v>380</v>
      </c>
      <c r="D352" s="4" t="s">
        <v>5</v>
      </c>
      <c r="E352" s="1" t="s">
        <v>6</v>
      </c>
      <c r="F352" s="7">
        <v>0.191</v>
      </c>
      <c r="G352" s="7">
        <v>2.9000000000000001E-2</v>
      </c>
      <c r="H352" s="7">
        <v>0.22</v>
      </c>
    </row>
    <row r="353" spans="1:8" ht="28.8" x14ac:dyDescent="0.3">
      <c r="A353" s="5">
        <v>333112</v>
      </c>
      <c r="B353" s="5">
        <v>333112</v>
      </c>
      <c r="C353" s="6" t="s">
        <v>381</v>
      </c>
      <c r="D353" s="4" t="s">
        <v>5</v>
      </c>
      <c r="E353" s="1" t="s">
        <v>6</v>
      </c>
      <c r="F353" s="7">
        <v>5.1999999999999998E-2</v>
      </c>
      <c r="G353" s="7">
        <v>6.8000000000000005E-2</v>
      </c>
      <c r="H353" s="7">
        <v>0.12</v>
      </c>
    </row>
    <row r="354" spans="1:8" ht="28.8" x14ac:dyDescent="0.3">
      <c r="A354" s="5">
        <v>333120</v>
      </c>
      <c r="B354" s="5">
        <v>333120</v>
      </c>
      <c r="C354" s="6" t="s">
        <v>382</v>
      </c>
      <c r="D354" s="4" t="s">
        <v>5</v>
      </c>
      <c r="E354" s="1" t="s">
        <v>6</v>
      </c>
      <c r="F354" s="7">
        <v>0.20100000000000001</v>
      </c>
      <c r="G354" s="7">
        <v>2.7E-2</v>
      </c>
      <c r="H354" s="7">
        <v>0.22800000000000001</v>
      </c>
    </row>
    <row r="355" spans="1:8" ht="28.8" x14ac:dyDescent="0.3">
      <c r="A355" s="5">
        <v>333131</v>
      </c>
      <c r="B355" s="5">
        <v>333130</v>
      </c>
      <c r="C355" s="6" t="s">
        <v>383</v>
      </c>
      <c r="D355" s="4" t="s">
        <v>5</v>
      </c>
      <c r="E355" s="1" t="s">
        <v>6</v>
      </c>
      <c r="F355" s="7">
        <v>0.17499999999999999</v>
      </c>
      <c r="G355" s="7">
        <v>4.3999999999999997E-2</v>
      </c>
      <c r="H355" s="7">
        <v>0.219</v>
      </c>
    </row>
    <row r="356" spans="1:8" ht="28.8" x14ac:dyDescent="0.3">
      <c r="A356" s="5">
        <v>333132</v>
      </c>
      <c r="B356" s="5">
        <v>333130</v>
      </c>
      <c r="C356" s="6" t="s">
        <v>384</v>
      </c>
      <c r="D356" s="4" t="s">
        <v>5</v>
      </c>
      <c r="E356" s="1" t="s">
        <v>6</v>
      </c>
      <c r="F356" s="7">
        <v>0.17499999999999999</v>
      </c>
      <c r="G356" s="7">
        <v>4.3999999999999997E-2</v>
      </c>
      <c r="H356" s="7">
        <v>0.219</v>
      </c>
    </row>
    <row r="357" spans="1:8" ht="28.8" x14ac:dyDescent="0.3">
      <c r="A357" s="5">
        <v>333241</v>
      </c>
      <c r="B357" s="5" t="s">
        <v>386</v>
      </c>
      <c r="C357" s="6" t="s">
        <v>385</v>
      </c>
      <c r="D357" s="4" t="s">
        <v>5</v>
      </c>
      <c r="E357" s="1" t="s">
        <v>6</v>
      </c>
      <c r="F357" s="7">
        <v>0.16600000000000001</v>
      </c>
      <c r="G357" s="7">
        <v>1.9E-2</v>
      </c>
      <c r="H357" s="7">
        <v>0.185</v>
      </c>
    </row>
    <row r="358" spans="1:8" ht="28.8" x14ac:dyDescent="0.3">
      <c r="A358" s="5">
        <v>333242</v>
      </c>
      <c r="B358" s="5">
        <v>333242</v>
      </c>
      <c r="C358" s="6" t="s">
        <v>387</v>
      </c>
      <c r="D358" s="4" t="s">
        <v>5</v>
      </c>
      <c r="E358" s="1" t="s">
        <v>6</v>
      </c>
      <c r="F358" s="7">
        <v>0.13</v>
      </c>
      <c r="G358" s="7">
        <v>0.02</v>
      </c>
      <c r="H358" s="7">
        <v>0.15</v>
      </c>
    </row>
    <row r="359" spans="1:8" ht="28.8" x14ac:dyDescent="0.3">
      <c r="A359" s="5">
        <v>333243</v>
      </c>
      <c r="B359" s="5" t="s">
        <v>386</v>
      </c>
      <c r="C359" s="6" t="s">
        <v>388</v>
      </c>
      <c r="D359" s="4" t="s">
        <v>5</v>
      </c>
      <c r="E359" s="1" t="s">
        <v>6</v>
      </c>
      <c r="F359" s="7">
        <v>0.16600000000000001</v>
      </c>
      <c r="G359" s="7">
        <v>1.9E-2</v>
      </c>
      <c r="H359" s="7">
        <v>0.185</v>
      </c>
    </row>
    <row r="360" spans="1:8" ht="28.8" x14ac:dyDescent="0.3">
      <c r="A360" s="5">
        <v>333244</v>
      </c>
      <c r="B360" s="5" t="s">
        <v>386</v>
      </c>
      <c r="C360" s="6" t="s">
        <v>389</v>
      </c>
      <c r="D360" s="4" t="s">
        <v>5</v>
      </c>
      <c r="E360" s="1" t="s">
        <v>6</v>
      </c>
      <c r="F360" s="7">
        <v>0.16600000000000001</v>
      </c>
      <c r="G360" s="7">
        <v>1.9E-2</v>
      </c>
      <c r="H360" s="7">
        <v>0.185</v>
      </c>
    </row>
    <row r="361" spans="1:8" ht="28.8" x14ac:dyDescent="0.3">
      <c r="A361" s="5">
        <v>333249</v>
      </c>
      <c r="B361" s="5" t="s">
        <v>386</v>
      </c>
      <c r="C361" s="6" t="s">
        <v>390</v>
      </c>
      <c r="D361" s="4" t="s">
        <v>5</v>
      </c>
      <c r="E361" s="1" t="s">
        <v>6</v>
      </c>
      <c r="F361" s="7">
        <v>0.16600000000000001</v>
      </c>
      <c r="G361" s="7">
        <v>1.9E-2</v>
      </c>
      <c r="H361" s="7">
        <v>0.185</v>
      </c>
    </row>
    <row r="362" spans="1:8" ht="28.8" x14ac:dyDescent="0.3">
      <c r="A362" s="5">
        <v>333314</v>
      </c>
      <c r="B362" s="5">
        <v>333314</v>
      </c>
      <c r="C362" s="6" t="s">
        <v>391</v>
      </c>
      <c r="D362" s="4" t="s">
        <v>5</v>
      </c>
      <c r="E362" s="1" t="s">
        <v>6</v>
      </c>
      <c r="F362" s="7">
        <v>0.152</v>
      </c>
      <c r="G362" s="7">
        <v>2.3E-2</v>
      </c>
      <c r="H362" s="7">
        <v>0.17499999999999999</v>
      </c>
    </row>
    <row r="363" spans="1:8" ht="28.8" x14ac:dyDescent="0.3">
      <c r="A363" s="5">
        <v>333316</v>
      </c>
      <c r="B363" s="5">
        <v>333316</v>
      </c>
      <c r="C363" s="6" t="s">
        <v>392</v>
      </c>
      <c r="D363" s="4" t="s">
        <v>5</v>
      </c>
      <c r="E363" s="1" t="s">
        <v>6</v>
      </c>
      <c r="F363" s="7">
        <v>8.5000000000000006E-2</v>
      </c>
      <c r="G363" s="7">
        <v>0.05</v>
      </c>
      <c r="H363" s="7">
        <v>0.13500000000000001</v>
      </c>
    </row>
    <row r="364" spans="1:8" ht="28.8" x14ac:dyDescent="0.3">
      <c r="A364" s="5">
        <v>333318</v>
      </c>
      <c r="B364" s="5">
        <v>333318</v>
      </c>
      <c r="C364" s="6" t="s">
        <v>393</v>
      </c>
      <c r="D364" s="4" t="s">
        <v>5</v>
      </c>
      <c r="E364" s="1" t="s">
        <v>6</v>
      </c>
      <c r="F364" s="7">
        <v>0.17100000000000001</v>
      </c>
      <c r="G364" s="7">
        <v>3.4000000000000002E-2</v>
      </c>
      <c r="H364" s="7">
        <v>0.20499999999999999</v>
      </c>
    </row>
    <row r="365" spans="1:8" ht="43.2" x14ac:dyDescent="0.3">
      <c r="A365" s="5">
        <v>333413</v>
      </c>
      <c r="B365" s="5">
        <v>333413</v>
      </c>
      <c r="C365" s="6" t="s">
        <v>394</v>
      </c>
      <c r="D365" s="4" t="s">
        <v>5</v>
      </c>
      <c r="E365" s="1" t="s">
        <v>6</v>
      </c>
      <c r="F365" s="7">
        <v>0.184</v>
      </c>
      <c r="G365" s="7">
        <v>2.5000000000000001E-2</v>
      </c>
      <c r="H365" s="7">
        <v>0.21</v>
      </c>
    </row>
    <row r="366" spans="1:8" ht="28.8" x14ac:dyDescent="0.3">
      <c r="A366" s="5">
        <v>333414</v>
      </c>
      <c r="B366" s="5">
        <v>333414</v>
      </c>
      <c r="C366" s="6" t="s">
        <v>395</v>
      </c>
      <c r="D366" s="4" t="s">
        <v>5</v>
      </c>
      <c r="E366" s="1" t="s">
        <v>6</v>
      </c>
      <c r="F366" s="7">
        <v>0.13800000000000001</v>
      </c>
      <c r="G366" s="7">
        <v>3.7999999999999999E-2</v>
      </c>
      <c r="H366" s="7">
        <v>0.17599999999999999</v>
      </c>
    </row>
    <row r="367" spans="1:8" ht="43.2" x14ac:dyDescent="0.3">
      <c r="A367" s="5">
        <v>333415</v>
      </c>
      <c r="B367" s="5">
        <v>333415</v>
      </c>
      <c r="C367" s="6" t="s">
        <v>396</v>
      </c>
      <c r="D367" s="4" t="s">
        <v>5</v>
      </c>
      <c r="E367" s="1" t="s">
        <v>6</v>
      </c>
      <c r="F367" s="7">
        <v>0.156</v>
      </c>
      <c r="G367" s="7">
        <v>2.8000000000000001E-2</v>
      </c>
      <c r="H367" s="7">
        <v>0.184</v>
      </c>
    </row>
    <row r="368" spans="1:8" ht="28.8" x14ac:dyDescent="0.3">
      <c r="A368" s="5">
        <v>333511</v>
      </c>
      <c r="B368" s="5">
        <v>333511</v>
      </c>
      <c r="C368" s="6" t="s">
        <v>397</v>
      </c>
      <c r="D368" s="4" t="s">
        <v>5</v>
      </c>
      <c r="E368" s="1" t="s">
        <v>6</v>
      </c>
      <c r="F368" s="7">
        <v>0.23599999999999999</v>
      </c>
      <c r="G368" s="7">
        <v>2.5000000000000001E-2</v>
      </c>
      <c r="H368" s="7">
        <v>0.26200000000000001</v>
      </c>
    </row>
    <row r="369" spans="1:8" ht="28.8" x14ac:dyDescent="0.3">
      <c r="A369" s="5">
        <v>333514</v>
      </c>
      <c r="B369" s="5">
        <v>333514</v>
      </c>
      <c r="C369" s="6" t="s">
        <v>398</v>
      </c>
      <c r="D369" s="4" t="s">
        <v>5</v>
      </c>
      <c r="E369" s="1" t="s">
        <v>6</v>
      </c>
      <c r="F369" s="7">
        <v>0.184</v>
      </c>
      <c r="G369" s="7">
        <v>2.5999999999999999E-2</v>
      </c>
      <c r="H369" s="7">
        <v>0.21</v>
      </c>
    </row>
    <row r="370" spans="1:8" ht="28.8" x14ac:dyDescent="0.3">
      <c r="A370" s="5">
        <v>333515</v>
      </c>
      <c r="B370" s="5" t="s">
        <v>400</v>
      </c>
      <c r="C370" s="6" t="s">
        <v>399</v>
      </c>
      <c r="D370" s="4" t="s">
        <v>5</v>
      </c>
      <c r="E370" s="1" t="s">
        <v>6</v>
      </c>
      <c r="F370" s="7">
        <v>0.184</v>
      </c>
      <c r="G370" s="7">
        <v>2.3E-2</v>
      </c>
      <c r="H370" s="7">
        <v>0.20699999999999999</v>
      </c>
    </row>
    <row r="371" spans="1:8" ht="28.8" x14ac:dyDescent="0.3">
      <c r="A371" s="5">
        <v>333517</v>
      </c>
      <c r="B371" s="5">
        <v>333517</v>
      </c>
      <c r="C371" s="6" t="s">
        <v>401</v>
      </c>
      <c r="D371" s="4" t="s">
        <v>5</v>
      </c>
      <c r="E371" s="1" t="s">
        <v>6</v>
      </c>
      <c r="F371" s="7">
        <v>0.17599999999999999</v>
      </c>
      <c r="G371" s="7">
        <v>2.3E-2</v>
      </c>
      <c r="H371" s="7">
        <v>0.19900000000000001</v>
      </c>
    </row>
    <row r="372" spans="1:8" ht="28.8" x14ac:dyDescent="0.3">
      <c r="A372" s="5">
        <v>333519</v>
      </c>
      <c r="B372" s="5" t="s">
        <v>400</v>
      </c>
      <c r="C372" s="6" t="s">
        <v>402</v>
      </c>
      <c r="D372" s="4" t="s">
        <v>5</v>
      </c>
      <c r="E372" s="1" t="s">
        <v>6</v>
      </c>
      <c r="F372" s="7">
        <v>0.184</v>
      </c>
      <c r="G372" s="7">
        <v>2.3E-2</v>
      </c>
      <c r="H372" s="7">
        <v>0.20699999999999999</v>
      </c>
    </row>
    <row r="373" spans="1:8" ht="28.8" x14ac:dyDescent="0.3">
      <c r="A373" s="5">
        <v>333611</v>
      </c>
      <c r="B373" s="5">
        <v>333611</v>
      </c>
      <c r="C373" s="6" t="s">
        <v>403</v>
      </c>
      <c r="D373" s="4" t="s">
        <v>5</v>
      </c>
      <c r="E373" s="1" t="s">
        <v>6</v>
      </c>
      <c r="F373" s="7">
        <v>0.17799999999999999</v>
      </c>
      <c r="G373" s="7">
        <v>2.4E-2</v>
      </c>
      <c r="H373" s="7">
        <v>0.20100000000000001</v>
      </c>
    </row>
    <row r="374" spans="1:8" ht="28.8" x14ac:dyDescent="0.3">
      <c r="A374" s="5">
        <v>333612</v>
      </c>
      <c r="B374" s="5">
        <v>333612</v>
      </c>
      <c r="C374" s="6" t="s">
        <v>404</v>
      </c>
      <c r="D374" s="4" t="s">
        <v>5</v>
      </c>
      <c r="E374" s="1" t="s">
        <v>6</v>
      </c>
      <c r="F374" s="7">
        <v>0.16300000000000001</v>
      </c>
      <c r="G374" s="7">
        <v>1.6E-2</v>
      </c>
      <c r="H374" s="7">
        <v>0.17899999999999999</v>
      </c>
    </row>
    <row r="375" spans="1:8" ht="28.8" x14ac:dyDescent="0.3">
      <c r="A375" s="5">
        <v>333613</v>
      </c>
      <c r="B375" s="5">
        <v>333613</v>
      </c>
      <c r="C375" s="6" t="s">
        <v>405</v>
      </c>
      <c r="D375" s="4" t="s">
        <v>5</v>
      </c>
      <c r="E375" s="1" t="s">
        <v>6</v>
      </c>
      <c r="F375" s="7">
        <v>0.187</v>
      </c>
      <c r="G375" s="7">
        <v>2.1999999999999999E-2</v>
      </c>
      <c r="H375" s="7">
        <v>0.20899999999999999</v>
      </c>
    </row>
    <row r="376" spans="1:8" ht="28.8" x14ac:dyDescent="0.3">
      <c r="A376" s="5">
        <v>333618</v>
      </c>
      <c r="B376" s="5">
        <v>333618</v>
      </c>
      <c r="C376" s="6" t="s">
        <v>406</v>
      </c>
      <c r="D376" s="4" t="s">
        <v>5</v>
      </c>
      <c r="E376" s="1" t="s">
        <v>6</v>
      </c>
      <c r="F376" s="7">
        <v>0.27300000000000002</v>
      </c>
      <c r="G376" s="7">
        <v>2.4E-2</v>
      </c>
      <c r="H376" s="7">
        <v>0.29699999999999999</v>
      </c>
    </row>
    <row r="377" spans="1:8" ht="28.8" x14ac:dyDescent="0.3">
      <c r="A377" s="5">
        <v>333912</v>
      </c>
      <c r="B377" s="5">
        <v>333912</v>
      </c>
      <c r="C377" s="6" t="s">
        <v>407</v>
      </c>
      <c r="D377" s="4" t="s">
        <v>5</v>
      </c>
      <c r="E377" s="1" t="s">
        <v>6</v>
      </c>
      <c r="F377" s="7">
        <v>0.158</v>
      </c>
      <c r="G377" s="7">
        <v>0.02</v>
      </c>
      <c r="H377" s="7">
        <v>0.17699999999999999</v>
      </c>
    </row>
    <row r="378" spans="1:8" ht="28.8" x14ac:dyDescent="0.3">
      <c r="A378" s="5">
        <v>333914</v>
      </c>
      <c r="B378" s="5">
        <v>333914</v>
      </c>
      <c r="C378" s="6" t="s">
        <v>408</v>
      </c>
      <c r="D378" s="4" t="s">
        <v>5</v>
      </c>
      <c r="E378" s="1" t="s">
        <v>6</v>
      </c>
      <c r="F378" s="7">
        <v>0.223</v>
      </c>
      <c r="G378" s="7">
        <v>0</v>
      </c>
      <c r="H378" s="7">
        <v>0.223</v>
      </c>
    </row>
    <row r="379" spans="1:8" ht="28.8" x14ac:dyDescent="0.3">
      <c r="A379" s="5">
        <v>333921</v>
      </c>
      <c r="B379" s="5">
        <v>333920</v>
      </c>
      <c r="C379" s="6" t="s">
        <v>409</v>
      </c>
      <c r="D379" s="4" t="s">
        <v>5</v>
      </c>
      <c r="E379" s="1" t="s">
        <v>6</v>
      </c>
      <c r="F379" s="7">
        <v>0.23400000000000001</v>
      </c>
      <c r="G379" s="7">
        <v>2.1999999999999999E-2</v>
      </c>
      <c r="H379" s="7">
        <v>0.25600000000000001</v>
      </c>
    </row>
    <row r="380" spans="1:8" ht="28.8" x14ac:dyDescent="0.3">
      <c r="A380" s="5">
        <v>333922</v>
      </c>
      <c r="B380" s="5">
        <v>333920</v>
      </c>
      <c r="C380" s="6" t="s">
        <v>410</v>
      </c>
      <c r="D380" s="4" t="s">
        <v>5</v>
      </c>
      <c r="E380" s="1" t="s">
        <v>6</v>
      </c>
      <c r="F380" s="7">
        <v>0.23400000000000001</v>
      </c>
      <c r="G380" s="7">
        <v>2.1999999999999999E-2</v>
      </c>
      <c r="H380" s="7">
        <v>0.25600000000000001</v>
      </c>
    </row>
    <row r="381" spans="1:8" ht="28.8" x14ac:dyDescent="0.3">
      <c r="A381" s="5">
        <v>333923</v>
      </c>
      <c r="B381" s="5">
        <v>333920</v>
      </c>
      <c r="C381" s="6" t="s">
        <v>411</v>
      </c>
      <c r="D381" s="4" t="s">
        <v>5</v>
      </c>
      <c r="E381" s="1" t="s">
        <v>6</v>
      </c>
      <c r="F381" s="7">
        <v>0.23400000000000001</v>
      </c>
      <c r="G381" s="7">
        <v>2.1999999999999999E-2</v>
      </c>
      <c r="H381" s="7">
        <v>0.25600000000000001</v>
      </c>
    </row>
    <row r="382" spans="1:8" ht="28.8" x14ac:dyDescent="0.3">
      <c r="A382" s="5">
        <v>333924</v>
      </c>
      <c r="B382" s="5">
        <v>333920</v>
      </c>
      <c r="C382" s="6" t="s">
        <v>412</v>
      </c>
      <c r="D382" s="4" t="s">
        <v>5</v>
      </c>
      <c r="E382" s="1" t="s">
        <v>6</v>
      </c>
      <c r="F382" s="7">
        <v>0.23400000000000001</v>
      </c>
      <c r="G382" s="7">
        <v>2.1999999999999999E-2</v>
      </c>
      <c r="H382" s="7">
        <v>0.25600000000000001</v>
      </c>
    </row>
    <row r="383" spans="1:8" ht="28.8" x14ac:dyDescent="0.3">
      <c r="A383" s="5">
        <v>333991</v>
      </c>
      <c r="B383" s="5">
        <v>333991</v>
      </c>
      <c r="C383" s="6" t="s">
        <v>413</v>
      </c>
      <c r="D383" s="4" t="s">
        <v>5</v>
      </c>
      <c r="E383" s="1" t="s">
        <v>6</v>
      </c>
      <c r="F383" s="7">
        <v>8.3000000000000004E-2</v>
      </c>
      <c r="G383" s="7">
        <v>5.2999999999999999E-2</v>
      </c>
      <c r="H383" s="7">
        <v>0.13600000000000001</v>
      </c>
    </row>
    <row r="384" spans="1:8" ht="28.8" x14ac:dyDescent="0.3">
      <c r="A384" s="5">
        <v>333992</v>
      </c>
      <c r="B384" s="5" t="s">
        <v>415</v>
      </c>
      <c r="C384" s="6" t="s">
        <v>414</v>
      </c>
      <c r="D384" s="4" t="s">
        <v>5</v>
      </c>
      <c r="E384" s="1" t="s">
        <v>6</v>
      </c>
      <c r="F384" s="7">
        <v>0.22800000000000001</v>
      </c>
      <c r="G384" s="7">
        <v>2.1000000000000001E-2</v>
      </c>
      <c r="H384" s="7">
        <v>0.249</v>
      </c>
    </row>
    <row r="385" spans="1:8" ht="28.8" x14ac:dyDescent="0.3">
      <c r="A385" s="5">
        <v>333993</v>
      </c>
      <c r="B385" s="5">
        <v>333993</v>
      </c>
      <c r="C385" s="6" t="s">
        <v>416</v>
      </c>
      <c r="D385" s="4" t="s">
        <v>5</v>
      </c>
      <c r="E385" s="1" t="s">
        <v>6</v>
      </c>
      <c r="F385" s="7">
        <v>0.113</v>
      </c>
      <c r="G385" s="7">
        <v>2.3E-2</v>
      </c>
      <c r="H385" s="7">
        <v>0.13600000000000001</v>
      </c>
    </row>
    <row r="386" spans="1:8" ht="28.8" x14ac:dyDescent="0.3">
      <c r="A386" s="5">
        <v>333994</v>
      </c>
      <c r="B386" s="5">
        <v>333994</v>
      </c>
      <c r="C386" s="6" t="s">
        <v>417</v>
      </c>
      <c r="D386" s="4" t="s">
        <v>5</v>
      </c>
      <c r="E386" s="1" t="s">
        <v>6</v>
      </c>
      <c r="F386" s="7">
        <v>0.16800000000000001</v>
      </c>
      <c r="G386" s="7">
        <v>2.1999999999999999E-2</v>
      </c>
      <c r="H386" s="7">
        <v>0.19</v>
      </c>
    </row>
    <row r="387" spans="1:8" ht="28.8" x14ac:dyDescent="0.3">
      <c r="A387" s="5">
        <v>333995</v>
      </c>
      <c r="B387" s="5" t="s">
        <v>419</v>
      </c>
      <c r="C387" s="6" t="s">
        <v>418</v>
      </c>
      <c r="D387" s="4" t="s">
        <v>5</v>
      </c>
      <c r="E387" s="1" t="s">
        <v>6</v>
      </c>
      <c r="F387" s="7">
        <v>0.182</v>
      </c>
      <c r="G387" s="7">
        <v>2.1000000000000001E-2</v>
      </c>
      <c r="H387" s="7">
        <v>0.20200000000000001</v>
      </c>
    </row>
    <row r="388" spans="1:8" ht="28.8" x14ac:dyDescent="0.3">
      <c r="A388" s="5">
        <v>333996</v>
      </c>
      <c r="B388" s="5" t="s">
        <v>419</v>
      </c>
      <c r="C388" s="6" t="s">
        <v>420</v>
      </c>
      <c r="D388" s="4" t="s">
        <v>5</v>
      </c>
      <c r="E388" s="1" t="s">
        <v>6</v>
      </c>
      <c r="F388" s="7">
        <v>0.182</v>
      </c>
      <c r="G388" s="7">
        <v>2.1000000000000001E-2</v>
      </c>
      <c r="H388" s="7">
        <v>0.20200000000000001</v>
      </c>
    </row>
    <row r="389" spans="1:8" ht="28.8" x14ac:dyDescent="0.3">
      <c r="A389" s="5">
        <v>333997</v>
      </c>
      <c r="B389" s="5" t="s">
        <v>415</v>
      </c>
      <c r="C389" s="6" t="s">
        <v>421</v>
      </c>
      <c r="D389" s="4" t="s">
        <v>5</v>
      </c>
      <c r="E389" s="1" t="s">
        <v>6</v>
      </c>
      <c r="F389" s="7">
        <v>0.22800000000000001</v>
      </c>
      <c r="G389" s="7">
        <v>2.1000000000000001E-2</v>
      </c>
      <c r="H389" s="7">
        <v>0.249</v>
      </c>
    </row>
    <row r="390" spans="1:8" ht="28.8" x14ac:dyDescent="0.3">
      <c r="A390" s="5">
        <v>333999</v>
      </c>
      <c r="B390" s="5" t="s">
        <v>415</v>
      </c>
      <c r="C390" s="6" t="s">
        <v>422</v>
      </c>
      <c r="D390" s="4" t="s">
        <v>5</v>
      </c>
      <c r="E390" s="1" t="s">
        <v>6</v>
      </c>
      <c r="F390" s="7">
        <v>0.22800000000000001</v>
      </c>
      <c r="G390" s="7">
        <v>2.1000000000000001E-2</v>
      </c>
      <c r="H390" s="7">
        <v>0.249</v>
      </c>
    </row>
    <row r="391" spans="1:8" ht="28.8" x14ac:dyDescent="0.3">
      <c r="A391" s="5">
        <v>334111</v>
      </c>
      <c r="B391" s="5">
        <v>334111</v>
      </c>
      <c r="C391" s="6" t="s">
        <v>423</v>
      </c>
      <c r="D391" s="4" t="s">
        <v>5</v>
      </c>
      <c r="E391" s="1" t="s">
        <v>6</v>
      </c>
      <c r="F391" s="7">
        <v>0.03</v>
      </c>
      <c r="G391" s="7">
        <v>2.8000000000000001E-2</v>
      </c>
      <c r="H391" s="7">
        <v>5.8000000000000003E-2</v>
      </c>
    </row>
    <row r="392" spans="1:8" ht="28.8" x14ac:dyDescent="0.3">
      <c r="A392" s="5">
        <v>334112</v>
      </c>
      <c r="B392" s="5">
        <v>334112</v>
      </c>
      <c r="C392" s="6" t="s">
        <v>424</v>
      </c>
      <c r="D392" s="4" t="s">
        <v>5</v>
      </c>
      <c r="E392" s="1" t="s">
        <v>6</v>
      </c>
      <c r="F392" s="7">
        <v>0.04</v>
      </c>
      <c r="G392" s="7">
        <v>3.1E-2</v>
      </c>
      <c r="H392" s="7">
        <v>7.0999999999999994E-2</v>
      </c>
    </row>
    <row r="393" spans="1:8" ht="28.8" x14ac:dyDescent="0.3">
      <c r="A393" s="5">
        <v>334118</v>
      </c>
      <c r="B393" s="5">
        <v>334118</v>
      </c>
      <c r="C393" s="6" t="s">
        <v>425</v>
      </c>
      <c r="D393" s="4" t="s">
        <v>5</v>
      </c>
      <c r="E393" s="1" t="s">
        <v>6</v>
      </c>
      <c r="F393" s="7">
        <v>0.11600000000000001</v>
      </c>
      <c r="G393" s="7">
        <v>2.7E-2</v>
      </c>
      <c r="H393" s="7">
        <v>0.14299999999999999</v>
      </c>
    </row>
    <row r="394" spans="1:8" ht="28.8" x14ac:dyDescent="0.3">
      <c r="A394" s="5">
        <v>334210</v>
      </c>
      <c r="B394" s="5">
        <v>334210</v>
      </c>
      <c r="C394" s="6" t="s">
        <v>426</v>
      </c>
      <c r="D394" s="4" t="s">
        <v>5</v>
      </c>
      <c r="E394" s="1" t="s">
        <v>6</v>
      </c>
      <c r="F394" s="7">
        <v>5.0999999999999997E-2</v>
      </c>
      <c r="G394" s="7">
        <v>4.4999999999999998E-2</v>
      </c>
      <c r="H394" s="7">
        <v>9.6000000000000002E-2</v>
      </c>
    </row>
    <row r="395" spans="1:8" ht="43.2" x14ac:dyDescent="0.3">
      <c r="A395" s="5">
        <v>334220</v>
      </c>
      <c r="B395" s="5">
        <v>334220</v>
      </c>
      <c r="C395" s="6" t="s">
        <v>427</v>
      </c>
      <c r="D395" s="4" t="s">
        <v>5</v>
      </c>
      <c r="E395" s="1" t="s">
        <v>6</v>
      </c>
      <c r="F395" s="7">
        <v>6.5000000000000002E-2</v>
      </c>
      <c r="G395" s="7">
        <v>4.7E-2</v>
      </c>
      <c r="H395" s="7">
        <v>0.111</v>
      </c>
    </row>
    <row r="396" spans="1:8" ht="28.8" x14ac:dyDescent="0.3">
      <c r="A396" s="5">
        <v>334290</v>
      </c>
      <c r="B396" s="5">
        <v>334290</v>
      </c>
      <c r="C396" s="6" t="s">
        <v>428</v>
      </c>
      <c r="D396" s="4" t="s">
        <v>5</v>
      </c>
      <c r="E396" s="1" t="s">
        <v>6</v>
      </c>
      <c r="F396" s="7">
        <v>3.7999999999999999E-2</v>
      </c>
      <c r="G396" s="7">
        <v>4.2000000000000003E-2</v>
      </c>
      <c r="H396" s="7">
        <v>0.08</v>
      </c>
    </row>
    <row r="397" spans="1:8" ht="28.8" x14ac:dyDescent="0.3">
      <c r="A397" s="5">
        <v>334310</v>
      </c>
      <c r="B397" s="5">
        <v>334300</v>
      </c>
      <c r="C397" s="6" t="s">
        <v>429</v>
      </c>
      <c r="D397" s="4" t="s">
        <v>5</v>
      </c>
      <c r="E397" s="1" t="s">
        <v>6</v>
      </c>
      <c r="F397" s="7">
        <v>4.2999999999999997E-2</v>
      </c>
      <c r="G397" s="7">
        <v>3.7999999999999999E-2</v>
      </c>
      <c r="H397" s="7">
        <v>8.1000000000000003E-2</v>
      </c>
    </row>
    <row r="398" spans="1:8" ht="28.8" x14ac:dyDescent="0.3">
      <c r="A398" s="5">
        <v>334412</v>
      </c>
      <c r="B398" s="5" t="s">
        <v>431</v>
      </c>
      <c r="C398" s="6" t="s">
        <v>430</v>
      </c>
      <c r="D398" s="4" t="s">
        <v>5</v>
      </c>
      <c r="E398" s="1" t="s">
        <v>6</v>
      </c>
      <c r="F398" s="7">
        <v>0.08</v>
      </c>
      <c r="G398" s="7">
        <v>1.9E-2</v>
      </c>
      <c r="H398" s="7">
        <v>9.8000000000000004E-2</v>
      </c>
    </row>
    <row r="399" spans="1:8" ht="28.8" x14ac:dyDescent="0.3">
      <c r="A399" s="5">
        <v>334413</v>
      </c>
      <c r="B399" s="5">
        <v>334413</v>
      </c>
      <c r="C399" s="6" t="s">
        <v>432</v>
      </c>
      <c r="D399" s="4" t="s">
        <v>5</v>
      </c>
      <c r="E399" s="1" t="s">
        <v>6</v>
      </c>
      <c r="F399" s="7">
        <v>0.188</v>
      </c>
      <c r="G399" s="7">
        <v>2.8000000000000001E-2</v>
      </c>
      <c r="H399" s="7">
        <v>0.215</v>
      </c>
    </row>
    <row r="400" spans="1:8" ht="28.8" x14ac:dyDescent="0.3">
      <c r="A400" s="5">
        <v>334416</v>
      </c>
      <c r="B400" s="5" t="s">
        <v>431</v>
      </c>
      <c r="C400" s="6" t="s">
        <v>433</v>
      </c>
      <c r="D400" s="4" t="s">
        <v>5</v>
      </c>
      <c r="E400" s="1" t="s">
        <v>6</v>
      </c>
      <c r="F400" s="7">
        <v>0.08</v>
      </c>
      <c r="G400" s="7">
        <v>1.9E-2</v>
      </c>
      <c r="H400" s="7">
        <v>9.8000000000000004E-2</v>
      </c>
    </row>
    <row r="401" spans="1:8" ht="28.8" x14ac:dyDescent="0.3">
      <c r="A401" s="5">
        <v>334417</v>
      </c>
      <c r="B401" s="5" t="s">
        <v>431</v>
      </c>
      <c r="C401" s="6" t="s">
        <v>434</v>
      </c>
      <c r="D401" s="4" t="s">
        <v>5</v>
      </c>
      <c r="E401" s="1" t="s">
        <v>6</v>
      </c>
      <c r="F401" s="7">
        <v>0.08</v>
      </c>
      <c r="G401" s="7">
        <v>1.9E-2</v>
      </c>
      <c r="H401" s="7">
        <v>9.8000000000000004E-2</v>
      </c>
    </row>
    <row r="402" spans="1:8" ht="28.8" x14ac:dyDescent="0.3">
      <c r="A402" s="5">
        <v>334418</v>
      </c>
      <c r="B402" s="5">
        <v>334418</v>
      </c>
      <c r="C402" s="6" t="s">
        <v>435</v>
      </c>
      <c r="D402" s="4" t="s">
        <v>5</v>
      </c>
      <c r="E402" s="1" t="s">
        <v>6</v>
      </c>
      <c r="F402" s="7">
        <v>6.8000000000000005E-2</v>
      </c>
      <c r="G402" s="7">
        <v>3.3000000000000002E-2</v>
      </c>
      <c r="H402" s="7">
        <v>0.10100000000000001</v>
      </c>
    </row>
    <row r="403" spans="1:8" ht="28.8" x14ac:dyDescent="0.3">
      <c r="A403" s="5">
        <v>334419</v>
      </c>
      <c r="B403" s="5" t="s">
        <v>431</v>
      </c>
      <c r="C403" s="6" t="s">
        <v>436</v>
      </c>
      <c r="D403" s="4" t="s">
        <v>5</v>
      </c>
      <c r="E403" s="1" t="s">
        <v>6</v>
      </c>
      <c r="F403" s="7">
        <v>0.08</v>
      </c>
      <c r="G403" s="7">
        <v>1.9E-2</v>
      </c>
      <c r="H403" s="7">
        <v>9.8000000000000004E-2</v>
      </c>
    </row>
    <row r="404" spans="1:8" ht="28.8" x14ac:dyDescent="0.3">
      <c r="A404" s="5">
        <v>334510</v>
      </c>
      <c r="B404" s="5">
        <v>334510</v>
      </c>
      <c r="C404" s="6" t="s">
        <v>437</v>
      </c>
      <c r="D404" s="4" t="s">
        <v>5</v>
      </c>
      <c r="E404" s="1" t="s">
        <v>6</v>
      </c>
      <c r="F404" s="7">
        <v>8.6999999999999994E-2</v>
      </c>
      <c r="G404" s="7">
        <v>4.8000000000000001E-2</v>
      </c>
      <c r="H404" s="7">
        <v>0.13500000000000001</v>
      </c>
    </row>
    <row r="405" spans="1:8" ht="43.2" x14ac:dyDescent="0.3">
      <c r="A405" s="5">
        <v>334511</v>
      </c>
      <c r="B405" s="5">
        <v>334511</v>
      </c>
      <c r="C405" s="6" t="s">
        <v>438</v>
      </c>
      <c r="D405" s="4" t="s">
        <v>5</v>
      </c>
      <c r="E405" s="1" t="s">
        <v>6</v>
      </c>
      <c r="F405" s="7">
        <v>5.1999999999999998E-2</v>
      </c>
      <c r="G405" s="7">
        <v>1.9E-2</v>
      </c>
      <c r="H405" s="7">
        <v>7.0999999999999994E-2</v>
      </c>
    </row>
    <row r="406" spans="1:8" ht="43.2" x14ac:dyDescent="0.3">
      <c r="A406" s="5">
        <v>334512</v>
      </c>
      <c r="B406" s="5">
        <v>334512</v>
      </c>
      <c r="C406" s="6" t="s">
        <v>439</v>
      </c>
      <c r="D406" s="4" t="s">
        <v>5</v>
      </c>
      <c r="E406" s="1" t="s">
        <v>6</v>
      </c>
      <c r="F406" s="7">
        <v>4.7E-2</v>
      </c>
      <c r="G406" s="7">
        <v>2.3E-2</v>
      </c>
      <c r="H406" s="7">
        <v>7.0000000000000007E-2</v>
      </c>
    </row>
    <row r="407" spans="1:8" ht="57.6" x14ac:dyDescent="0.3">
      <c r="A407" s="5">
        <v>334513</v>
      </c>
      <c r="B407" s="5">
        <v>334513</v>
      </c>
      <c r="C407" s="6" t="s">
        <v>440</v>
      </c>
      <c r="D407" s="4" t="s">
        <v>5</v>
      </c>
      <c r="E407" s="1" t="s">
        <v>6</v>
      </c>
      <c r="F407" s="7">
        <v>4.8000000000000001E-2</v>
      </c>
      <c r="G407" s="7">
        <v>1.4999999999999999E-2</v>
      </c>
      <c r="H407" s="7">
        <v>6.3E-2</v>
      </c>
    </row>
    <row r="408" spans="1:8" ht="28.8" x14ac:dyDescent="0.3">
      <c r="A408" s="5">
        <v>334514</v>
      </c>
      <c r="B408" s="5">
        <v>334514</v>
      </c>
      <c r="C408" s="6" t="s">
        <v>441</v>
      </c>
      <c r="D408" s="4" t="s">
        <v>5</v>
      </c>
      <c r="E408" s="1" t="s">
        <v>6</v>
      </c>
      <c r="F408" s="7">
        <v>6.3E-2</v>
      </c>
      <c r="G408" s="7">
        <v>2.1000000000000001E-2</v>
      </c>
      <c r="H408" s="7">
        <v>8.4000000000000005E-2</v>
      </c>
    </row>
    <row r="409" spans="1:8" ht="43.2" x14ac:dyDescent="0.3">
      <c r="A409" s="5">
        <v>334515</v>
      </c>
      <c r="B409" s="5">
        <v>334515</v>
      </c>
      <c r="C409" s="6" t="s">
        <v>442</v>
      </c>
      <c r="D409" s="4" t="s">
        <v>5</v>
      </c>
      <c r="E409" s="1" t="s">
        <v>6</v>
      </c>
      <c r="F409" s="7">
        <v>5.5E-2</v>
      </c>
      <c r="G409" s="7">
        <v>2.4E-2</v>
      </c>
      <c r="H409" s="7">
        <v>7.9000000000000001E-2</v>
      </c>
    </row>
    <row r="410" spans="1:8" ht="28.8" x14ac:dyDescent="0.3">
      <c r="A410" s="5">
        <v>334516</v>
      </c>
      <c r="B410" s="5">
        <v>334516</v>
      </c>
      <c r="C410" s="6" t="s">
        <v>443</v>
      </c>
      <c r="D410" s="4" t="s">
        <v>5</v>
      </c>
      <c r="E410" s="1" t="s">
        <v>6</v>
      </c>
      <c r="F410" s="7">
        <v>7.8E-2</v>
      </c>
      <c r="G410" s="7">
        <v>2.4E-2</v>
      </c>
      <c r="H410" s="7">
        <v>0.10199999999999999</v>
      </c>
    </row>
    <row r="411" spans="1:8" ht="28.8" x14ac:dyDescent="0.3">
      <c r="A411" s="5">
        <v>334517</v>
      </c>
      <c r="B411" s="5">
        <v>334517</v>
      </c>
      <c r="C411" s="6" t="s">
        <v>444</v>
      </c>
      <c r="D411" s="4" t="s">
        <v>5</v>
      </c>
      <c r="E411" s="1" t="s">
        <v>6</v>
      </c>
      <c r="F411" s="7">
        <v>9.7000000000000003E-2</v>
      </c>
      <c r="G411" s="7">
        <v>3.7999999999999999E-2</v>
      </c>
      <c r="H411" s="7">
        <v>0.13500000000000001</v>
      </c>
    </row>
    <row r="412" spans="1:8" ht="28.8" x14ac:dyDescent="0.3">
      <c r="A412" s="5">
        <v>334519</v>
      </c>
      <c r="B412" s="5" t="s">
        <v>446</v>
      </c>
      <c r="C412" s="6" t="s">
        <v>445</v>
      </c>
      <c r="D412" s="4" t="s">
        <v>5</v>
      </c>
      <c r="E412" s="1" t="s">
        <v>6</v>
      </c>
      <c r="F412" s="7">
        <v>4.3999999999999997E-2</v>
      </c>
      <c r="G412" s="7">
        <v>4.2000000000000003E-2</v>
      </c>
      <c r="H412" s="7">
        <v>8.6999999999999994E-2</v>
      </c>
    </row>
    <row r="413" spans="1:8" ht="28.8" x14ac:dyDescent="0.3">
      <c r="A413" s="5">
        <v>334613</v>
      </c>
      <c r="B413" s="5">
        <v>334610</v>
      </c>
      <c r="C413" s="6" t="s">
        <v>447</v>
      </c>
      <c r="D413" s="4" t="s">
        <v>5</v>
      </c>
      <c r="E413" s="1" t="s">
        <v>6</v>
      </c>
      <c r="F413" s="7">
        <v>4.2999999999999997E-2</v>
      </c>
      <c r="G413" s="7">
        <v>2.1000000000000001E-2</v>
      </c>
      <c r="H413" s="7">
        <v>6.3E-2</v>
      </c>
    </row>
    <row r="414" spans="1:8" ht="28.8" x14ac:dyDescent="0.3">
      <c r="A414" s="5">
        <v>334614</v>
      </c>
      <c r="B414" s="5">
        <v>334610</v>
      </c>
      <c r="C414" s="6" t="s">
        <v>448</v>
      </c>
      <c r="D414" s="4" t="s">
        <v>5</v>
      </c>
      <c r="E414" s="1" t="s">
        <v>6</v>
      </c>
      <c r="F414" s="7">
        <v>4.2999999999999997E-2</v>
      </c>
      <c r="G414" s="7">
        <v>2.1000000000000001E-2</v>
      </c>
      <c r="H414" s="7">
        <v>6.3E-2</v>
      </c>
    </row>
    <row r="415" spans="1:8" ht="28.8" x14ac:dyDescent="0.3">
      <c r="A415" s="5">
        <v>335110</v>
      </c>
      <c r="B415" s="5">
        <v>335110</v>
      </c>
      <c r="C415" s="6" t="s">
        <v>449</v>
      </c>
      <c r="D415" s="4" t="s">
        <v>5</v>
      </c>
      <c r="E415" s="1" t="s">
        <v>6</v>
      </c>
      <c r="F415" s="7">
        <v>9.9000000000000005E-2</v>
      </c>
      <c r="G415" s="7">
        <v>7.3999999999999996E-2</v>
      </c>
      <c r="H415" s="7">
        <v>0.17299999999999999</v>
      </c>
    </row>
    <row r="416" spans="1:8" ht="28.8" x14ac:dyDescent="0.3">
      <c r="A416" s="5">
        <v>335121</v>
      </c>
      <c r="B416" s="5">
        <v>335120</v>
      </c>
      <c r="C416" s="6" t="s">
        <v>450</v>
      </c>
      <c r="D416" s="4" t="s">
        <v>5</v>
      </c>
      <c r="E416" s="1" t="s">
        <v>6</v>
      </c>
      <c r="F416" s="7">
        <v>0.13800000000000001</v>
      </c>
      <c r="G416" s="7">
        <v>4.7E-2</v>
      </c>
      <c r="H416" s="7">
        <v>0.185</v>
      </c>
    </row>
    <row r="417" spans="1:8" ht="28.8" x14ac:dyDescent="0.3">
      <c r="A417" s="5">
        <v>335122</v>
      </c>
      <c r="B417" s="5">
        <v>335120</v>
      </c>
      <c r="C417" s="6" t="s">
        <v>451</v>
      </c>
      <c r="D417" s="4" t="s">
        <v>5</v>
      </c>
      <c r="E417" s="1" t="s">
        <v>6</v>
      </c>
      <c r="F417" s="7">
        <v>0.13800000000000001</v>
      </c>
      <c r="G417" s="7">
        <v>4.7E-2</v>
      </c>
      <c r="H417" s="7">
        <v>0.185</v>
      </c>
    </row>
    <row r="418" spans="1:8" ht="28.8" x14ac:dyDescent="0.3">
      <c r="A418" s="5">
        <v>335129</v>
      </c>
      <c r="B418" s="5">
        <v>335120</v>
      </c>
      <c r="C418" s="6" t="s">
        <v>452</v>
      </c>
      <c r="D418" s="4" t="s">
        <v>5</v>
      </c>
      <c r="E418" s="1" t="s">
        <v>6</v>
      </c>
      <c r="F418" s="7">
        <v>0.13800000000000001</v>
      </c>
      <c r="G418" s="7">
        <v>4.7E-2</v>
      </c>
      <c r="H418" s="7">
        <v>0.185</v>
      </c>
    </row>
    <row r="419" spans="1:8" ht="28.8" x14ac:dyDescent="0.3">
      <c r="A419" s="5">
        <v>335210</v>
      </c>
      <c r="B419" s="5">
        <v>335210</v>
      </c>
      <c r="C419" s="6" t="s">
        <v>453</v>
      </c>
      <c r="D419" s="4" t="s">
        <v>5</v>
      </c>
      <c r="E419" s="1" t="s">
        <v>6</v>
      </c>
      <c r="F419" s="7">
        <v>0.106</v>
      </c>
      <c r="G419" s="7">
        <v>5.0999999999999997E-2</v>
      </c>
      <c r="H419" s="7">
        <v>0.157</v>
      </c>
    </row>
    <row r="420" spans="1:8" ht="28.8" x14ac:dyDescent="0.3">
      <c r="A420" s="5">
        <v>335220</v>
      </c>
      <c r="B420" s="5">
        <v>335220</v>
      </c>
      <c r="C420" s="6" t="s">
        <v>454</v>
      </c>
      <c r="D420" s="4" t="s">
        <v>5</v>
      </c>
      <c r="E420" s="1" t="s">
        <v>6</v>
      </c>
      <c r="F420" s="7">
        <v>0.13700000000000001</v>
      </c>
      <c r="G420" s="7">
        <v>3.4000000000000002E-2</v>
      </c>
      <c r="H420" s="7">
        <v>0.17199999999999999</v>
      </c>
    </row>
    <row r="421" spans="1:8" ht="28.8" x14ac:dyDescent="0.3">
      <c r="A421" s="5">
        <v>335311</v>
      </c>
      <c r="B421" s="5">
        <v>335311</v>
      </c>
      <c r="C421" s="6" t="s">
        <v>455</v>
      </c>
      <c r="D421" s="4" t="s">
        <v>5</v>
      </c>
      <c r="E421" s="1" t="s">
        <v>6</v>
      </c>
      <c r="F421" s="7">
        <v>0.11799999999999999</v>
      </c>
      <c r="G421" s="7">
        <v>1.4999999999999999E-2</v>
      </c>
      <c r="H421" s="7">
        <v>0.13300000000000001</v>
      </c>
    </row>
    <row r="422" spans="1:8" ht="28.8" x14ac:dyDescent="0.3">
      <c r="A422" s="5">
        <v>335312</v>
      </c>
      <c r="B422" s="5">
        <v>335312</v>
      </c>
      <c r="C422" s="6" t="s">
        <v>456</v>
      </c>
      <c r="D422" s="4" t="s">
        <v>5</v>
      </c>
      <c r="E422" s="1" t="s">
        <v>6</v>
      </c>
      <c r="F422" s="7">
        <v>0.13300000000000001</v>
      </c>
      <c r="G422" s="7">
        <v>1.9E-2</v>
      </c>
      <c r="H422" s="7">
        <v>0.152</v>
      </c>
    </row>
    <row r="423" spans="1:8" ht="28.8" x14ac:dyDescent="0.3">
      <c r="A423" s="5">
        <v>335313</v>
      </c>
      <c r="B423" s="5">
        <v>335313</v>
      </c>
      <c r="C423" s="6" t="s">
        <v>457</v>
      </c>
      <c r="D423" s="4" t="s">
        <v>5</v>
      </c>
      <c r="E423" s="1" t="s">
        <v>6</v>
      </c>
      <c r="F423" s="7">
        <v>0.153</v>
      </c>
      <c r="G423" s="7">
        <v>2.1000000000000001E-2</v>
      </c>
      <c r="H423" s="7">
        <v>0.17399999999999999</v>
      </c>
    </row>
    <row r="424" spans="1:8" ht="28.8" x14ac:dyDescent="0.3">
      <c r="A424" s="5">
        <v>335314</v>
      </c>
      <c r="B424" s="5">
        <v>335314</v>
      </c>
      <c r="C424" s="6" t="s">
        <v>458</v>
      </c>
      <c r="D424" s="4" t="s">
        <v>5</v>
      </c>
      <c r="E424" s="1" t="s">
        <v>6</v>
      </c>
      <c r="F424" s="7">
        <v>0.12</v>
      </c>
      <c r="G424" s="7">
        <v>1.7999999999999999E-2</v>
      </c>
      <c r="H424" s="7">
        <v>0.13800000000000001</v>
      </c>
    </row>
    <row r="425" spans="1:8" ht="28.8" x14ac:dyDescent="0.3">
      <c r="A425" s="5">
        <v>335911</v>
      </c>
      <c r="B425" s="5">
        <v>335911</v>
      </c>
      <c r="C425" s="6" t="s">
        <v>459</v>
      </c>
      <c r="D425" s="4" t="s">
        <v>5</v>
      </c>
      <c r="E425" s="1" t="s">
        <v>6</v>
      </c>
      <c r="F425" s="7">
        <v>0.311</v>
      </c>
      <c r="G425" s="7">
        <v>2.5999999999999999E-2</v>
      </c>
      <c r="H425" s="7">
        <v>0.33700000000000002</v>
      </c>
    </row>
    <row r="426" spans="1:8" ht="28.8" x14ac:dyDescent="0.3">
      <c r="A426" s="5">
        <v>335912</v>
      </c>
      <c r="B426" s="5">
        <v>335912</v>
      </c>
      <c r="C426" s="6" t="s">
        <v>460</v>
      </c>
      <c r="D426" s="4" t="s">
        <v>5</v>
      </c>
      <c r="E426" s="1" t="s">
        <v>6</v>
      </c>
      <c r="F426" s="7">
        <v>4.5999999999999999E-2</v>
      </c>
      <c r="G426" s="7">
        <v>5.7000000000000002E-2</v>
      </c>
      <c r="H426" s="7">
        <v>0.10299999999999999</v>
      </c>
    </row>
    <row r="427" spans="1:8" ht="28.8" x14ac:dyDescent="0.3">
      <c r="A427" s="5">
        <v>335921</v>
      </c>
      <c r="B427" s="5">
        <v>335920</v>
      </c>
      <c r="C427" s="6" t="s">
        <v>461</v>
      </c>
      <c r="D427" s="4" t="s">
        <v>5</v>
      </c>
      <c r="E427" s="1" t="s">
        <v>6</v>
      </c>
      <c r="F427" s="7">
        <v>0.219</v>
      </c>
      <c r="G427" s="7">
        <v>1.6E-2</v>
      </c>
      <c r="H427" s="7">
        <v>0.23499999999999999</v>
      </c>
    </row>
    <row r="428" spans="1:8" ht="28.8" x14ac:dyDescent="0.3">
      <c r="A428" s="5">
        <v>335929</v>
      </c>
      <c r="B428" s="5">
        <v>335920</v>
      </c>
      <c r="C428" s="6" t="s">
        <v>462</v>
      </c>
      <c r="D428" s="4" t="s">
        <v>5</v>
      </c>
      <c r="E428" s="1" t="s">
        <v>6</v>
      </c>
      <c r="F428" s="7">
        <v>0.219</v>
      </c>
      <c r="G428" s="7">
        <v>1.6E-2</v>
      </c>
      <c r="H428" s="7">
        <v>0.23499999999999999</v>
      </c>
    </row>
    <row r="429" spans="1:8" ht="28.8" x14ac:dyDescent="0.3">
      <c r="A429" s="5">
        <v>335931</v>
      </c>
      <c r="B429" s="5">
        <v>335930</v>
      </c>
      <c r="C429" s="6" t="s">
        <v>463</v>
      </c>
      <c r="D429" s="4" t="s">
        <v>5</v>
      </c>
      <c r="E429" s="1" t="s">
        <v>6</v>
      </c>
      <c r="F429" s="7">
        <v>0.10199999999999999</v>
      </c>
      <c r="G429" s="7">
        <v>2.5999999999999999E-2</v>
      </c>
      <c r="H429" s="7">
        <v>0.127</v>
      </c>
    </row>
    <row r="430" spans="1:8" ht="28.8" x14ac:dyDescent="0.3">
      <c r="A430" s="5">
        <v>335932</v>
      </c>
      <c r="B430" s="5">
        <v>335930</v>
      </c>
      <c r="C430" s="6" t="s">
        <v>464</v>
      </c>
      <c r="D430" s="4" t="s">
        <v>5</v>
      </c>
      <c r="E430" s="1" t="s">
        <v>6</v>
      </c>
      <c r="F430" s="7">
        <v>0.10199999999999999</v>
      </c>
      <c r="G430" s="7">
        <v>2.5999999999999999E-2</v>
      </c>
      <c r="H430" s="7">
        <v>0.127</v>
      </c>
    </row>
    <row r="431" spans="1:8" ht="28.8" x14ac:dyDescent="0.3">
      <c r="A431" s="5">
        <v>335991</v>
      </c>
      <c r="B431" s="5">
        <v>335991</v>
      </c>
      <c r="C431" s="6" t="s">
        <v>465</v>
      </c>
      <c r="D431" s="4" t="s">
        <v>5</v>
      </c>
      <c r="E431" s="1" t="s">
        <v>6</v>
      </c>
      <c r="F431" s="7">
        <v>0.34699999999999998</v>
      </c>
      <c r="G431" s="7">
        <v>1.6E-2</v>
      </c>
      <c r="H431" s="7">
        <v>0.36299999999999999</v>
      </c>
    </row>
    <row r="432" spans="1:8" ht="28.8" x14ac:dyDescent="0.3">
      <c r="A432" s="5">
        <v>335999</v>
      </c>
      <c r="B432" s="5">
        <v>335999</v>
      </c>
      <c r="C432" s="6" t="s">
        <v>466</v>
      </c>
      <c r="D432" s="4" t="s">
        <v>5</v>
      </c>
      <c r="E432" s="1" t="s">
        <v>6</v>
      </c>
      <c r="F432" s="7">
        <v>0.112</v>
      </c>
      <c r="G432" s="7">
        <v>1.6E-2</v>
      </c>
      <c r="H432" s="7">
        <v>0.128</v>
      </c>
    </row>
    <row r="433" spans="1:8" ht="28.8" x14ac:dyDescent="0.3">
      <c r="A433" s="5">
        <v>336111</v>
      </c>
      <c r="B433" s="5">
        <v>336111</v>
      </c>
      <c r="C433" s="6" t="s">
        <v>467</v>
      </c>
      <c r="D433" s="4" t="s">
        <v>5</v>
      </c>
      <c r="E433" s="1" t="s">
        <v>6</v>
      </c>
      <c r="F433" s="7">
        <v>0.19</v>
      </c>
      <c r="G433" s="7">
        <v>0.05</v>
      </c>
      <c r="H433" s="7">
        <v>0.24</v>
      </c>
    </row>
    <row r="434" spans="1:8" ht="28.8" x14ac:dyDescent="0.3">
      <c r="A434" s="5">
        <v>336112</v>
      </c>
      <c r="B434" s="5">
        <v>336112</v>
      </c>
      <c r="C434" s="6" t="s">
        <v>468</v>
      </c>
      <c r="D434" s="4" t="s">
        <v>5</v>
      </c>
      <c r="E434" s="1" t="s">
        <v>6</v>
      </c>
      <c r="F434" s="7">
        <v>0.24099999999999999</v>
      </c>
      <c r="G434" s="7">
        <v>2.7E-2</v>
      </c>
      <c r="H434" s="7">
        <v>0.26800000000000002</v>
      </c>
    </row>
    <row r="435" spans="1:8" ht="28.8" x14ac:dyDescent="0.3">
      <c r="A435" s="5">
        <v>336120</v>
      </c>
      <c r="B435" s="5">
        <v>336120</v>
      </c>
      <c r="C435" s="6" t="s">
        <v>469</v>
      </c>
      <c r="D435" s="4" t="s">
        <v>5</v>
      </c>
      <c r="E435" s="1" t="s">
        <v>6</v>
      </c>
      <c r="F435" s="7">
        <v>0.26200000000000001</v>
      </c>
      <c r="G435" s="7">
        <v>1.0999999999999999E-2</v>
      </c>
      <c r="H435" s="7">
        <v>0.27200000000000002</v>
      </c>
    </row>
    <row r="436" spans="1:8" ht="28.8" x14ac:dyDescent="0.3">
      <c r="A436" s="5">
        <v>336211</v>
      </c>
      <c r="B436" s="5">
        <v>336211</v>
      </c>
      <c r="C436" s="6" t="s">
        <v>470</v>
      </c>
      <c r="D436" s="4" t="s">
        <v>5</v>
      </c>
      <c r="E436" s="1" t="s">
        <v>6</v>
      </c>
      <c r="F436" s="7">
        <v>0.22500000000000001</v>
      </c>
      <c r="G436" s="7">
        <v>2.8000000000000001E-2</v>
      </c>
      <c r="H436" s="7">
        <v>0.253</v>
      </c>
    </row>
    <row r="437" spans="1:8" ht="28.8" x14ac:dyDescent="0.3">
      <c r="A437" s="5">
        <v>336212</v>
      </c>
      <c r="B437" s="5">
        <v>336212</v>
      </c>
      <c r="C437" s="6" t="s">
        <v>471</v>
      </c>
      <c r="D437" s="4" t="s">
        <v>5</v>
      </c>
      <c r="E437" s="1" t="s">
        <v>6</v>
      </c>
      <c r="F437" s="7">
        <v>0.185</v>
      </c>
      <c r="G437" s="7">
        <v>1.4999999999999999E-2</v>
      </c>
      <c r="H437" s="7">
        <v>0.2</v>
      </c>
    </row>
    <row r="438" spans="1:8" ht="28.8" x14ac:dyDescent="0.3">
      <c r="A438" s="5">
        <v>336213</v>
      </c>
      <c r="B438" s="5">
        <v>336213</v>
      </c>
      <c r="C438" s="6" t="s">
        <v>472</v>
      </c>
      <c r="D438" s="4" t="s">
        <v>5</v>
      </c>
      <c r="E438" s="1" t="s">
        <v>6</v>
      </c>
      <c r="F438" s="7">
        <v>5.5E-2</v>
      </c>
      <c r="G438" s="7">
        <v>5.1999999999999998E-2</v>
      </c>
      <c r="H438" s="7">
        <v>0.107</v>
      </c>
    </row>
    <row r="439" spans="1:8" ht="28.8" x14ac:dyDescent="0.3">
      <c r="A439" s="5">
        <v>336214</v>
      </c>
      <c r="B439" s="5">
        <v>336214</v>
      </c>
      <c r="C439" s="6" t="s">
        <v>473</v>
      </c>
      <c r="D439" s="4" t="s">
        <v>5</v>
      </c>
      <c r="E439" s="1" t="s">
        <v>6</v>
      </c>
      <c r="F439" s="7">
        <v>0.128</v>
      </c>
      <c r="G439" s="7">
        <v>3.3000000000000002E-2</v>
      </c>
      <c r="H439" s="7">
        <v>0.16</v>
      </c>
    </row>
    <row r="440" spans="1:8" ht="28.8" x14ac:dyDescent="0.3">
      <c r="A440" s="5">
        <v>336310</v>
      </c>
      <c r="B440" s="5">
        <v>336310</v>
      </c>
      <c r="C440" s="6" t="s">
        <v>474</v>
      </c>
      <c r="D440" s="4" t="s">
        <v>5</v>
      </c>
      <c r="E440" s="1" t="s">
        <v>6</v>
      </c>
      <c r="F440" s="7">
        <v>0.23</v>
      </c>
      <c r="G440" s="7">
        <v>2.9000000000000001E-2</v>
      </c>
      <c r="H440" s="7">
        <v>0.25900000000000001</v>
      </c>
    </row>
    <row r="441" spans="1:8" ht="28.8" x14ac:dyDescent="0.3">
      <c r="A441" s="5">
        <v>336320</v>
      </c>
      <c r="B441" s="5">
        <v>336320</v>
      </c>
      <c r="C441" s="6" t="s">
        <v>475</v>
      </c>
      <c r="D441" s="4" t="s">
        <v>5</v>
      </c>
      <c r="E441" s="1" t="s">
        <v>6</v>
      </c>
      <c r="F441" s="7">
        <v>0.191</v>
      </c>
      <c r="G441" s="7">
        <v>2.7E-2</v>
      </c>
      <c r="H441" s="7">
        <v>0.218</v>
      </c>
    </row>
    <row r="442" spans="1:8" ht="43.2" x14ac:dyDescent="0.3">
      <c r="A442" s="5">
        <v>336330</v>
      </c>
      <c r="B442" s="5" t="s">
        <v>477</v>
      </c>
      <c r="C442" s="6" t="s">
        <v>476</v>
      </c>
      <c r="D442" s="4" t="s">
        <v>5</v>
      </c>
      <c r="E442" s="1" t="s">
        <v>6</v>
      </c>
      <c r="F442" s="7">
        <v>0.25</v>
      </c>
      <c r="G442" s="7">
        <v>2.8000000000000001E-2</v>
      </c>
      <c r="H442" s="7">
        <v>0.27800000000000002</v>
      </c>
    </row>
    <row r="443" spans="1:8" ht="28.8" x14ac:dyDescent="0.3">
      <c r="A443" s="5">
        <v>336340</v>
      </c>
      <c r="B443" s="5" t="s">
        <v>477</v>
      </c>
      <c r="C443" s="6" t="s">
        <v>478</v>
      </c>
      <c r="D443" s="4" t="s">
        <v>5</v>
      </c>
      <c r="E443" s="1" t="s">
        <v>6</v>
      </c>
      <c r="F443" s="7">
        <v>0.25</v>
      </c>
      <c r="G443" s="7">
        <v>2.8000000000000001E-2</v>
      </c>
      <c r="H443" s="7">
        <v>0.27800000000000002</v>
      </c>
    </row>
    <row r="444" spans="1:8" ht="28.8" x14ac:dyDescent="0.3">
      <c r="A444" s="5">
        <v>336350</v>
      </c>
      <c r="B444" s="5">
        <v>336350</v>
      </c>
      <c r="C444" s="6" t="s">
        <v>479</v>
      </c>
      <c r="D444" s="4" t="s">
        <v>5</v>
      </c>
      <c r="E444" s="1" t="s">
        <v>6</v>
      </c>
      <c r="F444" s="7">
        <v>0.22600000000000001</v>
      </c>
      <c r="G444" s="7">
        <v>2.7E-2</v>
      </c>
      <c r="H444" s="7">
        <v>0.252</v>
      </c>
    </row>
    <row r="445" spans="1:8" ht="28.8" x14ac:dyDescent="0.3">
      <c r="A445" s="5">
        <v>336360</v>
      </c>
      <c r="B445" s="5">
        <v>336360</v>
      </c>
      <c r="C445" s="6" t="s">
        <v>480</v>
      </c>
      <c r="D445" s="4" t="s">
        <v>5</v>
      </c>
      <c r="E445" s="1" t="s">
        <v>6</v>
      </c>
      <c r="F445" s="7">
        <v>0.315</v>
      </c>
      <c r="G445" s="7">
        <v>1.7999999999999999E-2</v>
      </c>
      <c r="H445" s="7">
        <v>0.33300000000000002</v>
      </c>
    </row>
    <row r="446" spans="1:8" ht="28.8" x14ac:dyDescent="0.3">
      <c r="A446" s="5">
        <v>336370</v>
      </c>
      <c r="B446" s="5">
        <v>336370</v>
      </c>
      <c r="C446" s="6" t="s">
        <v>481</v>
      </c>
      <c r="D446" s="4" t="s">
        <v>5</v>
      </c>
      <c r="E446" s="1" t="s">
        <v>6</v>
      </c>
      <c r="F446" s="7">
        <v>0.48199999999999998</v>
      </c>
      <c r="G446" s="7">
        <v>0.02</v>
      </c>
      <c r="H446" s="7">
        <v>0.503</v>
      </c>
    </row>
    <row r="447" spans="1:8" ht="28.8" x14ac:dyDescent="0.3">
      <c r="A447" s="5">
        <v>336390</v>
      </c>
      <c r="B447" s="5">
        <v>336390</v>
      </c>
      <c r="C447" s="6" t="s">
        <v>482</v>
      </c>
      <c r="D447" s="4" t="s">
        <v>5</v>
      </c>
      <c r="E447" s="1" t="s">
        <v>6</v>
      </c>
      <c r="F447" s="7">
        <v>0.24199999999999999</v>
      </c>
      <c r="G447" s="7">
        <v>2.4E-2</v>
      </c>
      <c r="H447" s="7">
        <v>0.26500000000000001</v>
      </c>
    </row>
    <row r="448" spans="1:8" ht="28.8" x14ac:dyDescent="0.3">
      <c r="A448" s="5">
        <v>336411</v>
      </c>
      <c r="B448" s="5">
        <v>336411</v>
      </c>
      <c r="C448" s="6" t="s">
        <v>483</v>
      </c>
      <c r="D448" s="4" t="s">
        <v>5</v>
      </c>
      <c r="E448" s="1" t="s">
        <v>6</v>
      </c>
      <c r="F448" s="7">
        <v>0.13100000000000001</v>
      </c>
      <c r="G448" s="7">
        <v>8.9999999999999993E-3</v>
      </c>
      <c r="H448" s="7">
        <v>0.13900000000000001</v>
      </c>
    </row>
    <row r="449" spans="1:8" ht="28.8" x14ac:dyDescent="0.3">
      <c r="A449" s="5">
        <v>336412</v>
      </c>
      <c r="B449" s="5">
        <v>336412</v>
      </c>
      <c r="C449" s="6" t="s">
        <v>484</v>
      </c>
      <c r="D449" s="4" t="s">
        <v>5</v>
      </c>
      <c r="E449" s="1" t="s">
        <v>6</v>
      </c>
      <c r="F449" s="7">
        <v>0.151</v>
      </c>
      <c r="G449" s="7">
        <v>5.0000000000000001E-3</v>
      </c>
      <c r="H449" s="7">
        <v>0.156</v>
      </c>
    </row>
    <row r="450" spans="1:8" ht="28.8" x14ac:dyDescent="0.3">
      <c r="A450" s="5">
        <v>336413</v>
      </c>
      <c r="B450" s="5">
        <v>336413</v>
      </c>
      <c r="C450" s="6" t="s">
        <v>485</v>
      </c>
      <c r="D450" s="4" t="s">
        <v>5</v>
      </c>
      <c r="E450" s="1" t="s">
        <v>6</v>
      </c>
      <c r="F450" s="7">
        <v>0.16300000000000001</v>
      </c>
      <c r="G450" s="7">
        <v>7.0000000000000001E-3</v>
      </c>
      <c r="H450" s="7">
        <v>0.17</v>
      </c>
    </row>
    <row r="451" spans="1:8" ht="28.8" x14ac:dyDescent="0.3">
      <c r="A451" s="5">
        <v>336414</v>
      </c>
      <c r="B451" s="5">
        <v>336414</v>
      </c>
      <c r="C451" s="6" t="s">
        <v>486</v>
      </c>
      <c r="D451" s="4" t="s">
        <v>5</v>
      </c>
      <c r="E451" s="1" t="s">
        <v>6</v>
      </c>
      <c r="F451" s="7">
        <v>0.13300000000000001</v>
      </c>
      <c r="G451" s="7">
        <v>8.9999999999999993E-3</v>
      </c>
      <c r="H451" s="7">
        <v>0.14199999999999999</v>
      </c>
    </row>
    <row r="452" spans="1:8" ht="43.2" x14ac:dyDescent="0.3">
      <c r="A452" s="5">
        <v>336415</v>
      </c>
      <c r="B452" s="5" t="s">
        <v>488</v>
      </c>
      <c r="C452" s="6" t="s">
        <v>487</v>
      </c>
      <c r="D452" s="4" t="s">
        <v>5</v>
      </c>
      <c r="E452" s="1" t="s">
        <v>6</v>
      </c>
      <c r="F452" s="7">
        <v>0.28599999999999998</v>
      </c>
      <c r="G452" s="7">
        <v>7.0000000000000001E-3</v>
      </c>
      <c r="H452" s="7">
        <v>0.29399999999999998</v>
      </c>
    </row>
    <row r="453" spans="1:8" ht="43.2" x14ac:dyDescent="0.3">
      <c r="A453" s="5">
        <v>336419</v>
      </c>
      <c r="B453" s="5" t="s">
        <v>488</v>
      </c>
      <c r="C453" s="6" t="s">
        <v>489</v>
      </c>
      <c r="D453" s="4" t="s">
        <v>5</v>
      </c>
      <c r="E453" s="1" t="s">
        <v>6</v>
      </c>
      <c r="F453" s="7">
        <v>0.28599999999999998</v>
      </c>
      <c r="G453" s="7">
        <v>7.0000000000000001E-3</v>
      </c>
      <c r="H453" s="7">
        <v>0.29399999999999998</v>
      </c>
    </row>
    <row r="454" spans="1:8" ht="28.8" x14ac:dyDescent="0.3">
      <c r="A454" s="5">
        <v>336510</v>
      </c>
      <c r="B454" s="5">
        <v>336500</v>
      </c>
      <c r="C454" s="6" t="s">
        <v>490</v>
      </c>
      <c r="D454" s="4" t="s">
        <v>5</v>
      </c>
      <c r="E454" s="1" t="s">
        <v>6</v>
      </c>
      <c r="F454" s="7">
        <v>0.41299999999999998</v>
      </c>
      <c r="G454" s="7">
        <v>3.1E-2</v>
      </c>
      <c r="H454" s="7">
        <v>0.44400000000000001</v>
      </c>
    </row>
    <row r="455" spans="1:8" ht="28.8" x14ac:dyDescent="0.3">
      <c r="A455" s="5">
        <v>336611</v>
      </c>
      <c r="B455" s="5">
        <v>336611</v>
      </c>
      <c r="C455" s="6" t="s">
        <v>491</v>
      </c>
      <c r="D455" s="4" t="s">
        <v>5</v>
      </c>
      <c r="E455" s="1" t="s">
        <v>6</v>
      </c>
      <c r="F455" s="7">
        <v>0.187</v>
      </c>
      <c r="G455" s="7">
        <v>8.0000000000000002E-3</v>
      </c>
      <c r="H455" s="7">
        <v>0.19600000000000001</v>
      </c>
    </row>
    <row r="456" spans="1:8" ht="28.8" x14ac:dyDescent="0.3">
      <c r="A456" s="5">
        <v>336612</v>
      </c>
      <c r="B456" s="5">
        <v>336612</v>
      </c>
      <c r="C456" s="6" t="s">
        <v>492</v>
      </c>
      <c r="D456" s="4" t="s">
        <v>5</v>
      </c>
      <c r="E456" s="1" t="s">
        <v>6</v>
      </c>
      <c r="F456" s="7">
        <v>0.15</v>
      </c>
      <c r="G456" s="7">
        <v>3.2000000000000001E-2</v>
      </c>
      <c r="H456" s="7">
        <v>0.182</v>
      </c>
    </row>
    <row r="457" spans="1:8" ht="28.8" x14ac:dyDescent="0.3">
      <c r="A457" s="5">
        <v>336991</v>
      </c>
      <c r="B457" s="5">
        <v>336991</v>
      </c>
      <c r="C457" s="6" t="s">
        <v>493</v>
      </c>
      <c r="D457" s="4" t="s">
        <v>5</v>
      </c>
      <c r="E457" s="1" t="s">
        <v>6</v>
      </c>
      <c r="F457" s="7">
        <v>0.17799999999999999</v>
      </c>
      <c r="G457" s="7">
        <v>4.3999999999999997E-2</v>
      </c>
      <c r="H457" s="7">
        <v>0.222</v>
      </c>
    </row>
    <row r="458" spans="1:8" ht="28.8" x14ac:dyDescent="0.3">
      <c r="A458" s="5">
        <v>336992</v>
      </c>
      <c r="B458" s="5">
        <v>336992</v>
      </c>
      <c r="C458" s="6" t="s">
        <v>494</v>
      </c>
      <c r="D458" s="4" t="s">
        <v>5</v>
      </c>
      <c r="E458" s="1" t="s">
        <v>6</v>
      </c>
      <c r="F458" s="7">
        <v>0.43099999999999999</v>
      </c>
      <c r="G458" s="7">
        <v>1.2E-2</v>
      </c>
      <c r="H458" s="7">
        <v>0.443</v>
      </c>
    </row>
    <row r="459" spans="1:8" ht="28.8" x14ac:dyDescent="0.3">
      <c r="A459" s="5">
        <v>336999</v>
      </c>
      <c r="B459" s="5">
        <v>336999</v>
      </c>
      <c r="C459" s="6" t="s">
        <v>495</v>
      </c>
      <c r="D459" s="4" t="s">
        <v>5</v>
      </c>
      <c r="E459" s="1" t="s">
        <v>6</v>
      </c>
      <c r="F459" s="7">
        <v>0.157</v>
      </c>
      <c r="G459" s="7">
        <v>3.7999999999999999E-2</v>
      </c>
      <c r="H459" s="7">
        <v>0.19500000000000001</v>
      </c>
    </row>
    <row r="460" spans="1:8" ht="28.8" x14ac:dyDescent="0.3">
      <c r="A460" s="5">
        <v>337110</v>
      </c>
      <c r="B460" s="5">
        <v>337110</v>
      </c>
      <c r="C460" s="6" t="s">
        <v>496</v>
      </c>
      <c r="D460" s="4" t="s">
        <v>5</v>
      </c>
      <c r="E460" s="1" t="s">
        <v>6</v>
      </c>
      <c r="F460" s="7">
        <v>0.114</v>
      </c>
      <c r="G460" s="7">
        <v>5.2999999999999999E-2</v>
      </c>
      <c r="H460" s="7">
        <v>0.16600000000000001</v>
      </c>
    </row>
    <row r="461" spans="1:8" ht="28.8" x14ac:dyDescent="0.3">
      <c r="A461" s="5">
        <v>337121</v>
      </c>
      <c r="B461" s="5">
        <v>337121</v>
      </c>
      <c r="C461" s="6" t="s">
        <v>497</v>
      </c>
      <c r="D461" s="4" t="s">
        <v>5</v>
      </c>
      <c r="E461" s="1" t="s">
        <v>6</v>
      </c>
      <c r="F461" s="7">
        <v>0.13300000000000001</v>
      </c>
      <c r="G461" s="7">
        <v>5.5E-2</v>
      </c>
      <c r="H461" s="7">
        <v>0.188</v>
      </c>
    </row>
    <row r="462" spans="1:8" ht="28.8" x14ac:dyDescent="0.3">
      <c r="A462" s="5">
        <v>337122</v>
      </c>
      <c r="B462" s="5">
        <v>337122</v>
      </c>
      <c r="C462" s="6" t="s">
        <v>498</v>
      </c>
      <c r="D462" s="4" t="s">
        <v>5</v>
      </c>
      <c r="E462" s="1" t="s">
        <v>6</v>
      </c>
      <c r="F462" s="7">
        <v>0.121</v>
      </c>
      <c r="G462" s="7">
        <v>5.7000000000000002E-2</v>
      </c>
      <c r="H462" s="7">
        <v>0.17799999999999999</v>
      </c>
    </row>
    <row r="463" spans="1:8" ht="28.8" x14ac:dyDescent="0.3">
      <c r="A463" s="5">
        <v>337124</v>
      </c>
      <c r="B463" s="5" t="s">
        <v>500</v>
      </c>
      <c r="C463" s="6" t="s">
        <v>499</v>
      </c>
      <c r="D463" s="4" t="s">
        <v>5</v>
      </c>
      <c r="E463" s="1" t="s">
        <v>6</v>
      </c>
      <c r="F463" s="7">
        <v>0.16800000000000001</v>
      </c>
      <c r="G463" s="7">
        <v>5.8999999999999997E-2</v>
      </c>
      <c r="H463" s="7">
        <v>0.22700000000000001</v>
      </c>
    </row>
    <row r="464" spans="1:8" ht="28.8" x14ac:dyDescent="0.3">
      <c r="A464" s="5">
        <v>337125</v>
      </c>
      <c r="B464" s="5" t="s">
        <v>500</v>
      </c>
      <c r="C464" s="6" t="s">
        <v>501</v>
      </c>
      <c r="D464" s="4" t="s">
        <v>5</v>
      </c>
      <c r="E464" s="1" t="s">
        <v>6</v>
      </c>
      <c r="F464" s="7">
        <v>0.16800000000000001</v>
      </c>
      <c r="G464" s="7">
        <v>5.8999999999999997E-2</v>
      </c>
      <c r="H464" s="7">
        <v>0.22700000000000001</v>
      </c>
    </row>
    <row r="465" spans="1:8" ht="28.8" x14ac:dyDescent="0.3">
      <c r="A465" s="5">
        <v>337127</v>
      </c>
      <c r="B465" s="5">
        <v>337127</v>
      </c>
      <c r="C465" s="6" t="s">
        <v>502</v>
      </c>
      <c r="D465" s="4" t="s">
        <v>5</v>
      </c>
      <c r="E465" s="1" t="s">
        <v>6</v>
      </c>
      <c r="F465" s="7">
        <v>0.20799999999999999</v>
      </c>
      <c r="G465" s="7">
        <v>3.7999999999999999E-2</v>
      </c>
      <c r="H465" s="7">
        <v>0.246</v>
      </c>
    </row>
    <row r="466" spans="1:8" ht="28.8" x14ac:dyDescent="0.3">
      <c r="A466" s="5">
        <v>337211</v>
      </c>
      <c r="B466" s="5" t="s">
        <v>504</v>
      </c>
      <c r="C466" s="6" t="s">
        <v>503</v>
      </c>
      <c r="D466" s="4" t="s">
        <v>5</v>
      </c>
      <c r="E466" s="1" t="s">
        <v>6</v>
      </c>
      <c r="F466" s="7">
        <v>0.184</v>
      </c>
      <c r="G466" s="7">
        <v>5.6000000000000001E-2</v>
      </c>
      <c r="H466" s="7">
        <v>0.24</v>
      </c>
    </row>
    <row r="467" spans="1:8" ht="28.8" x14ac:dyDescent="0.3">
      <c r="A467" s="5">
        <v>337212</v>
      </c>
      <c r="B467" s="5" t="s">
        <v>504</v>
      </c>
      <c r="C467" s="6" t="s">
        <v>505</v>
      </c>
      <c r="D467" s="4" t="s">
        <v>5</v>
      </c>
      <c r="E467" s="1" t="s">
        <v>6</v>
      </c>
      <c r="F467" s="7">
        <v>0.184</v>
      </c>
      <c r="G467" s="7">
        <v>5.6000000000000001E-2</v>
      </c>
      <c r="H467" s="7">
        <v>0.24</v>
      </c>
    </row>
    <row r="468" spans="1:8" ht="28.8" x14ac:dyDescent="0.3">
      <c r="A468" s="5">
        <v>337214</v>
      </c>
      <c r="B468" s="5" t="s">
        <v>504</v>
      </c>
      <c r="C468" s="6" t="s">
        <v>506</v>
      </c>
      <c r="D468" s="4" t="s">
        <v>5</v>
      </c>
      <c r="E468" s="1" t="s">
        <v>6</v>
      </c>
      <c r="F468" s="7">
        <v>0.184</v>
      </c>
      <c r="G468" s="7">
        <v>5.6000000000000001E-2</v>
      </c>
      <c r="H468" s="7">
        <v>0.24</v>
      </c>
    </row>
    <row r="469" spans="1:8" ht="28.8" x14ac:dyDescent="0.3">
      <c r="A469" s="5">
        <v>337215</v>
      </c>
      <c r="B469" s="5">
        <v>337215</v>
      </c>
      <c r="C469" s="6" t="s">
        <v>507</v>
      </c>
      <c r="D469" s="4" t="s">
        <v>5</v>
      </c>
      <c r="E469" s="1" t="s">
        <v>6</v>
      </c>
      <c r="F469" s="7">
        <v>0.20599999999999999</v>
      </c>
      <c r="G469" s="7">
        <v>0.04</v>
      </c>
      <c r="H469" s="7">
        <v>0.246</v>
      </c>
    </row>
    <row r="470" spans="1:8" ht="28.8" x14ac:dyDescent="0.3">
      <c r="A470" s="5">
        <v>337910</v>
      </c>
      <c r="B470" s="5">
        <v>337900</v>
      </c>
      <c r="C470" s="6" t="s">
        <v>508</v>
      </c>
      <c r="D470" s="4" t="s">
        <v>5</v>
      </c>
      <c r="E470" s="1" t="s">
        <v>6</v>
      </c>
      <c r="F470" s="7">
        <v>0.11</v>
      </c>
      <c r="G470" s="7">
        <v>6.3E-2</v>
      </c>
      <c r="H470" s="7">
        <v>0.17299999999999999</v>
      </c>
    </row>
    <row r="471" spans="1:8" ht="28.8" x14ac:dyDescent="0.3">
      <c r="A471" s="5">
        <v>337920</v>
      </c>
      <c r="B471" s="5">
        <v>337900</v>
      </c>
      <c r="C471" s="6" t="s">
        <v>509</v>
      </c>
      <c r="D471" s="4" t="s">
        <v>5</v>
      </c>
      <c r="E471" s="1" t="s">
        <v>6</v>
      </c>
      <c r="F471" s="7">
        <v>0.11</v>
      </c>
      <c r="G471" s="7">
        <v>6.3E-2</v>
      </c>
      <c r="H471" s="7">
        <v>0.17299999999999999</v>
      </c>
    </row>
    <row r="472" spans="1:8" ht="28.8" x14ac:dyDescent="0.3">
      <c r="A472" s="5">
        <v>339112</v>
      </c>
      <c r="B472" s="5">
        <v>339112</v>
      </c>
      <c r="C472" s="6" t="s">
        <v>510</v>
      </c>
      <c r="D472" s="4" t="s">
        <v>5</v>
      </c>
      <c r="E472" s="1" t="s">
        <v>6</v>
      </c>
      <c r="F472" s="7">
        <v>0.11899999999999999</v>
      </c>
      <c r="G472" s="7">
        <v>3.6999999999999998E-2</v>
      </c>
      <c r="H472" s="7">
        <v>0.156</v>
      </c>
    </row>
    <row r="473" spans="1:8" ht="28.8" x14ac:dyDescent="0.3">
      <c r="A473" s="5">
        <v>339113</v>
      </c>
      <c r="B473" s="5">
        <v>339113</v>
      </c>
      <c r="C473" s="6" t="s">
        <v>511</v>
      </c>
      <c r="D473" s="4" t="s">
        <v>5</v>
      </c>
      <c r="E473" s="1" t="s">
        <v>6</v>
      </c>
      <c r="F473" s="7">
        <v>9.6000000000000002E-2</v>
      </c>
      <c r="G473" s="7">
        <v>4.4999999999999998E-2</v>
      </c>
      <c r="H473" s="7">
        <v>0.14000000000000001</v>
      </c>
    </row>
    <row r="474" spans="1:8" ht="28.8" x14ac:dyDescent="0.3">
      <c r="A474" s="5">
        <v>339114</v>
      </c>
      <c r="B474" s="5">
        <v>339114</v>
      </c>
      <c r="C474" s="6" t="s">
        <v>512</v>
      </c>
      <c r="D474" s="4" t="s">
        <v>5</v>
      </c>
      <c r="E474" s="1" t="s">
        <v>6</v>
      </c>
      <c r="F474" s="7">
        <v>0.14299999999999999</v>
      </c>
      <c r="G474" s="7">
        <v>0.03</v>
      </c>
      <c r="H474" s="7">
        <v>0.17399999999999999</v>
      </c>
    </row>
    <row r="475" spans="1:8" ht="28.8" x14ac:dyDescent="0.3">
      <c r="A475" s="5">
        <v>339115</v>
      </c>
      <c r="B475" s="5">
        <v>339115</v>
      </c>
      <c r="C475" s="6" t="s">
        <v>513</v>
      </c>
      <c r="D475" s="4" t="s">
        <v>5</v>
      </c>
      <c r="E475" s="1" t="s">
        <v>6</v>
      </c>
      <c r="F475" s="7">
        <v>8.5999999999999993E-2</v>
      </c>
      <c r="G475" s="7">
        <v>5.1999999999999998E-2</v>
      </c>
      <c r="H475" s="7">
        <v>0.13800000000000001</v>
      </c>
    </row>
    <row r="476" spans="1:8" ht="28.8" x14ac:dyDescent="0.3">
      <c r="A476" s="5">
        <v>339116</v>
      </c>
      <c r="B476" s="5">
        <v>339116</v>
      </c>
      <c r="C476" s="6" t="s">
        <v>514</v>
      </c>
      <c r="D476" s="4" t="s">
        <v>5</v>
      </c>
      <c r="E476" s="1" t="s">
        <v>6</v>
      </c>
      <c r="F476" s="7">
        <v>8.3000000000000004E-2</v>
      </c>
      <c r="G476" s="7">
        <v>3.4000000000000002E-2</v>
      </c>
      <c r="H476" s="7">
        <v>0.11700000000000001</v>
      </c>
    </row>
    <row r="477" spans="1:8" ht="28.8" x14ac:dyDescent="0.3">
      <c r="A477" s="5">
        <v>339910</v>
      </c>
      <c r="B477" s="5">
        <v>339910</v>
      </c>
      <c r="C477" s="6" t="s">
        <v>515</v>
      </c>
      <c r="D477" s="4" t="s">
        <v>5</v>
      </c>
      <c r="E477" s="1" t="s">
        <v>6</v>
      </c>
      <c r="F477" s="7">
        <v>5.5E-2</v>
      </c>
      <c r="G477" s="7">
        <v>5.2999999999999999E-2</v>
      </c>
      <c r="H477" s="7">
        <v>0.108</v>
      </c>
    </row>
    <row r="478" spans="1:8" ht="28.8" x14ac:dyDescent="0.3">
      <c r="A478" s="5">
        <v>339920</v>
      </c>
      <c r="B478" s="5">
        <v>339920</v>
      </c>
      <c r="C478" s="6" t="s">
        <v>516</v>
      </c>
      <c r="D478" s="4" t="s">
        <v>5</v>
      </c>
      <c r="E478" s="1" t="s">
        <v>6</v>
      </c>
      <c r="F478" s="7">
        <v>0.104</v>
      </c>
      <c r="G478" s="7">
        <v>6.4000000000000001E-2</v>
      </c>
      <c r="H478" s="7">
        <v>0.16700000000000001</v>
      </c>
    </row>
    <row r="479" spans="1:8" ht="28.8" x14ac:dyDescent="0.3">
      <c r="A479" s="5">
        <v>339930</v>
      </c>
      <c r="B479" s="5">
        <v>339930</v>
      </c>
      <c r="C479" s="6" t="s">
        <v>517</v>
      </c>
      <c r="D479" s="4" t="s">
        <v>5</v>
      </c>
      <c r="E479" s="1" t="s">
        <v>6</v>
      </c>
      <c r="F479" s="7">
        <v>8.5000000000000006E-2</v>
      </c>
      <c r="G479" s="7">
        <v>6.0999999999999999E-2</v>
      </c>
      <c r="H479" s="7">
        <v>0.14599999999999999</v>
      </c>
    </row>
    <row r="480" spans="1:8" ht="28.8" x14ac:dyDescent="0.3">
      <c r="A480" s="5">
        <v>339940</v>
      </c>
      <c r="B480" s="5">
        <v>339940</v>
      </c>
      <c r="C480" s="6" t="s">
        <v>518</v>
      </c>
      <c r="D480" s="4" t="s">
        <v>5</v>
      </c>
      <c r="E480" s="1" t="s">
        <v>6</v>
      </c>
      <c r="F480" s="7">
        <v>0.20399999999999999</v>
      </c>
      <c r="G480" s="7">
        <v>6.0999999999999999E-2</v>
      </c>
      <c r="H480" s="7">
        <v>0.26500000000000001</v>
      </c>
    </row>
    <row r="481" spans="1:8" ht="28.8" x14ac:dyDescent="0.3">
      <c r="A481" s="5">
        <v>339950</v>
      </c>
      <c r="B481" s="5">
        <v>339950</v>
      </c>
      <c r="C481" s="6" t="s">
        <v>519</v>
      </c>
      <c r="D481" s="4" t="s">
        <v>5</v>
      </c>
      <c r="E481" s="1" t="s">
        <v>6</v>
      </c>
      <c r="F481" s="7">
        <v>0.187</v>
      </c>
      <c r="G481" s="7">
        <v>6.3E-2</v>
      </c>
      <c r="H481" s="7">
        <v>0.25</v>
      </c>
    </row>
    <row r="482" spans="1:8" ht="28.8" x14ac:dyDescent="0.3">
      <c r="A482" s="5">
        <v>339991</v>
      </c>
      <c r="B482" s="5">
        <v>339990</v>
      </c>
      <c r="C482" s="6" t="s">
        <v>520</v>
      </c>
      <c r="D482" s="4" t="s">
        <v>5</v>
      </c>
      <c r="E482" s="1" t="s">
        <v>6</v>
      </c>
      <c r="F482" s="7">
        <v>0.121</v>
      </c>
      <c r="G482" s="7">
        <v>6.0999999999999999E-2</v>
      </c>
      <c r="H482" s="7">
        <v>0.182</v>
      </c>
    </row>
    <row r="483" spans="1:8" ht="28.8" x14ac:dyDescent="0.3">
      <c r="A483" s="5">
        <v>339992</v>
      </c>
      <c r="B483" s="5">
        <v>339990</v>
      </c>
      <c r="C483" s="6" t="s">
        <v>521</v>
      </c>
      <c r="D483" s="4" t="s">
        <v>5</v>
      </c>
      <c r="E483" s="1" t="s">
        <v>6</v>
      </c>
      <c r="F483" s="7">
        <v>0.121</v>
      </c>
      <c r="G483" s="7">
        <v>6.0999999999999999E-2</v>
      </c>
      <c r="H483" s="7">
        <v>0.182</v>
      </c>
    </row>
    <row r="484" spans="1:8" ht="28.8" x14ac:dyDescent="0.3">
      <c r="A484" s="5">
        <v>339993</v>
      </c>
      <c r="B484" s="5">
        <v>339990</v>
      </c>
      <c r="C484" s="6" t="s">
        <v>522</v>
      </c>
      <c r="D484" s="4" t="s">
        <v>5</v>
      </c>
      <c r="E484" s="1" t="s">
        <v>6</v>
      </c>
      <c r="F484" s="7">
        <v>0.121</v>
      </c>
      <c r="G484" s="7">
        <v>6.0999999999999999E-2</v>
      </c>
      <c r="H484" s="7">
        <v>0.182</v>
      </c>
    </row>
    <row r="485" spans="1:8" ht="28.8" x14ac:dyDescent="0.3">
      <c r="A485" s="5">
        <v>339994</v>
      </c>
      <c r="B485" s="5">
        <v>339990</v>
      </c>
      <c r="C485" s="6" t="s">
        <v>523</v>
      </c>
      <c r="D485" s="4" t="s">
        <v>5</v>
      </c>
      <c r="E485" s="1" t="s">
        <v>6</v>
      </c>
      <c r="F485" s="7">
        <v>0.121</v>
      </c>
      <c r="G485" s="7">
        <v>6.0999999999999999E-2</v>
      </c>
      <c r="H485" s="7">
        <v>0.182</v>
      </c>
    </row>
    <row r="486" spans="1:8" ht="28.8" x14ac:dyDescent="0.3">
      <c r="A486" s="5">
        <v>339995</v>
      </c>
      <c r="B486" s="5">
        <v>339990</v>
      </c>
      <c r="C486" s="6" t="s">
        <v>524</v>
      </c>
      <c r="D486" s="4" t="s">
        <v>5</v>
      </c>
      <c r="E486" s="1" t="s">
        <v>6</v>
      </c>
      <c r="F486" s="7">
        <v>0.121</v>
      </c>
      <c r="G486" s="7">
        <v>6.0999999999999999E-2</v>
      </c>
      <c r="H486" s="7">
        <v>0.182</v>
      </c>
    </row>
    <row r="487" spans="1:8" ht="28.8" x14ac:dyDescent="0.3">
      <c r="A487" s="5">
        <v>339999</v>
      </c>
      <c r="B487" s="5">
        <v>339990</v>
      </c>
      <c r="C487" s="6" t="s">
        <v>525</v>
      </c>
      <c r="D487" s="4" t="s">
        <v>5</v>
      </c>
      <c r="E487" s="1" t="s">
        <v>6</v>
      </c>
      <c r="F487" s="7">
        <v>0.121</v>
      </c>
      <c r="G487" s="7">
        <v>6.0999999999999999E-2</v>
      </c>
      <c r="H487" s="7">
        <v>0.182</v>
      </c>
    </row>
    <row r="488" spans="1:8" ht="28.8" x14ac:dyDescent="0.3">
      <c r="A488" s="5">
        <v>423110</v>
      </c>
      <c r="B488" s="5">
        <v>423100</v>
      </c>
      <c r="C488" s="6" t="s">
        <v>526</v>
      </c>
      <c r="D488" s="4" t="s">
        <v>5</v>
      </c>
      <c r="E488" s="1" t="s">
        <v>6</v>
      </c>
      <c r="F488" s="7">
        <v>0.115</v>
      </c>
      <c r="G488" s="7">
        <v>0</v>
      </c>
      <c r="H488" s="7">
        <v>0.115</v>
      </c>
    </row>
    <row r="489" spans="1:8" ht="28.8" x14ac:dyDescent="0.3">
      <c r="A489" s="5">
        <v>423120</v>
      </c>
      <c r="B489" s="5">
        <v>423100</v>
      </c>
      <c r="C489" s="6" t="s">
        <v>527</v>
      </c>
      <c r="D489" s="4" t="s">
        <v>5</v>
      </c>
      <c r="E489" s="1" t="s">
        <v>6</v>
      </c>
      <c r="F489" s="7">
        <v>0.115</v>
      </c>
      <c r="G489" s="7">
        <v>0</v>
      </c>
      <c r="H489" s="7">
        <v>0.115</v>
      </c>
    </row>
    <row r="490" spans="1:8" ht="28.8" x14ac:dyDescent="0.3">
      <c r="A490" s="5">
        <v>423130</v>
      </c>
      <c r="B490" s="5">
        <v>423100</v>
      </c>
      <c r="C490" s="6" t="s">
        <v>528</v>
      </c>
      <c r="D490" s="4" t="s">
        <v>5</v>
      </c>
      <c r="E490" s="1" t="s">
        <v>6</v>
      </c>
      <c r="F490" s="7">
        <v>0.115</v>
      </c>
      <c r="G490" s="7">
        <v>0</v>
      </c>
      <c r="H490" s="7">
        <v>0.115</v>
      </c>
    </row>
    <row r="491" spans="1:8" ht="28.8" x14ac:dyDescent="0.3">
      <c r="A491" s="5">
        <v>423140</v>
      </c>
      <c r="B491" s="5">
        <v>423100</v>
      </c>
      <c r="C491" s="6" t="s">
        <v>529</v>
      </c>
      <c r="D491" s="4" t="s">
        <v>5</v>
      </c>
      <c r="E491" s="1" t="s">
        <v>6</v>
      </c>
      <c r="F491" s="7">
        <v>0.115</v>
      </c>
      <c r="G491" s="7">
        <v>0</v>
      </c>
      <c r="H491" s="7">
        <v>0.115</v>
      </c>
    </row>
    <row r="492" spans="1:8" ht="28.8" x14ac:dyDescent="0.3">
      <c r="A492" s="5">
        <v>423210</v>
      </c>
      <c r="B492" s="5" t="s">
        <v>531</v>
      </c>
      <c r="C492" s="6" t="s">
        <v>530</v>
      </c>
      <c r="D492" s="4" t="s">
        <v>5</v>
      </c>
      <c r="E492" s="1" t="s">
        <v>6</v>
      </c>
      <c r="F492" s="7">
        <v>0.108</v>
      </c>
      <c r="G492" s="7">
        <v>0</v>
      </c>
      <c r="H492" s="7">
        <v>0.108</v>
      </c>
    </row>
    <row r="493" spans="1:8" ht="28.8" x14ac:dyDescent="0.3">
      <c r="A493" s="5">
        <v>423220</v>
      </c>
      <c r="B493" s="5" t="s">
        <v>531</v>
      </c>
      <c r="C493" s="6" t="s">
        <v>532</v>
      </c>
      <c r="D493" s="4" t="s">
        <v>5</v>
      </c>
      <c r="E493" s="1" t="s">
        <v>6</v>
      </c>
      <c r="F493" s="7">
        <v>0.108</v>
      </c>
      <c r="G493" s="7">
        <v>0</v>
      </c>
      <c r="H493" s="7">
        <v>0.108</v>
      </c>
    </row>
    <row r="494" spans="1:8" ht="28.8" x14ac:dyDescent="0.3">
      <c r="A494" s="5">
        <v>423310</v>
      </c>
      <c r="B494" s="5" t="s">
        <v>531</v>
      </c>
      <c r="C494" s="6" t="s">
        <v>533</v>
      </c>
      <c r="D494" s="4" t="s">
        <v>5</v>
      </c>
      <c r="E494" s="1" t="s">
        <v>6</v>
      </c>
      <c r="F494" s="7">
        <v>0.108</v>
      </c>
      <c r="G494" s="7">
        <v>0</v>
      </c>
      <c r="H494" s="7">
        <v>0.108</v>
      </c>
    </row>
    <row r="495" spans="1:8" ht="28.8" x14ac:dyDescent="0.3">
      <c r="A495" s="5">
        <v>423320</v>
      </c>
      <c r="B495" s="5" t="s">
        <v>531</v>
      </c>
      <c r="C495" s="6" t="s">
        <v>534</v>
      </c>
      <c r="D495" s="4" t="s">
        <v>5</v>
      </c>
      <c r="E495" s="1" t="s">
        <v>6</v>
      </c>
      <c r="F495" s="7">
        <v>0.108</v>
      </c>
      <c r="G495" s="7">
        <v>0</v>
      </c>
      <c r="H495" s="7">
        <v>0.108</v>
      </c>
    </row>
    <row r="496" spans="1:8" ht="28.8" x14ac:dyDescent="0.3">
      <c r="A496" s="5">
        <v>423330</v>
      </c>
      <c r="B496" s="5" t="s">
        <v>531</v>
      </c>
      <c r="C496" s="6" t="s">
        <v>535</v>
      </c>
      <c r="D496" s="4" t="s">
        <v>5</v>
      </c>
      <c r="E496" s="1" t="s">
        <v>6</v>
      </c>
      <c r="F496" s="7">
        <v>0.108</v>
      </c>
      <c r="G496" s="7">
        <v>0</v>
      </c>
      <c r="H496" s="7">
        <v>0.108</v>
      </c>
    </row>
    <row r="497" spans="1:8" ht="28.8" x14ac:dyDescent="0.3">
      <c r="A497" s="5">
        <v>423390</v>
      </c>
      <c r="B497" s="5" t="s">
        <v>531</v>
      </c>
      <c r="C497" s="6" t="s">
        <v>536</v>
      </c>
      <c r="D497" s="4" t="s">
        <v>5</v>
      </c>
      <c r="E497" s="1" t="s">
        <v>6</v>
      </c>
      <c r="F497" s="7">
        <v>0.108</v>
      </c>
      <c r="G497" s="7">
        <v>0</v>
      </c>
      <c r="H497" s="7">
        <v>0.108</v>
      </c>
    </row>
    <row r="498" spans="1:8" ht="28.8" x14ac:dyDescent="0.3">
      <c r="A498" s="5">
        <v>423410</v>
      </c>
      <c r="B498" s="5">
        <v>423400</v>
      </c>
      <c r="C498" s="6" t="s">
        <v>537</v>
      </c>
      <c r="D498" s="4" t="s">
        <v>5</v>
      </c>
      <c r="E498" s="1" t="s">
        <v>6</v>
      </c>
      <c r="F498" s="7">
        <v>7.3999999999999996E-2</v>
      </c>
      <c r="G498" s="7">
        <v>0</v>
      </c>
      <c r="H498" s="7">
        <v>7.3999999999999996E-2</v>
      </c>
    </row>
    <row r="499" spans="1:8" ht="28.8" x14ac:dyDescent="0.3">
      <c r="A499" s="5">
        <v>423420</v>
      </c>
      <c r="B499" s="5">
        <v>423400</v>
      </c>
      <c r="C499" s="6" t="s">
        <v>538</v>
      </c>
      <c r="D499" s="4" t="s">
        <v>5</v>
      </c>
      <c r="E499" s="1" t="s">
        <v>6</v>
      </c>
      <c r="F499" s="7">
        <v>7.3999999999999996E-2</v>
      </c>
      <c r="G499" s="7">
        <v>0</v>
      </c>
      <c r="H499" s="7">
        <v>7.3999999999999996E-2</v>
      </c>
    </row>
    <row r="500" spans="1:8" ht="43.2" x14ac:dyDescent="0.3">
      <c r="A500" s="5">
        <v>423430</v>
      </c>
      <c r="B500" s="5">
        <v>423400</v>
      </c>
      <c r="C500" s="6" t="s">
        <v>539</v>
      </c>
      <c r="D500" s="4" t="s">
        <v>5</v>
      </c>
      <c r="E500" s="1" t="s">
        <v>6</v>
      </c>
      <c r="F500" s="7">
        <v>7.3999999999999996E-2</v>
      </c>
      <c r="G500" s="7">
        <v>0</v>
      </c>
      <c r="H500" s="7">
        <v>7.3999999999999996E-2</v>
      </c>
    </row>
    <row r="501" spans="1:8" ht="28.8" x14ac:dyDescent="0.3">
      <c r="A501" s="5">
        <v>423440</v>
      </c>
      <c r="B501" s="5">
        <v>423400</v>
      </c>
      <c r="C501" s="6" t="s">
        <v>540</v>
      </c>
      <c r="D501" s="4" t="s">
        <v>5</v>
      </c>
      <c r="E501" s="1" t="s">
        <v>6</v>
      </c>
      <c r="F501" s="7">
        <v>7.3999999999999996E-2</v>
      </c>
      <c r="G501" s="7">
        <v>0</v>
      </c>
      <c r="H501" s="7">
        <v>7.3999999999999996E-2</v>
      </c>
    </row>
    <row r="502" spans="1:8" ht="28.8" x14ac:dyDescent="0.3">
      <c r="A502" s="5">
        <v>423450</v>
      </c>
      <c r="B502" s="5">
        <v>423400</v>
      </c>
      <c r="C502" s="6" t="s">
        <v>541</v>
      </c>
      <c r="D502" s="4" t="s">
        <v>5</v>
      </c>
      <c r="E502" s="1" t="s">
        <v>6</v>
      </c>
      <c r="F502" s="7">
        <v>7.3999999999999996E-2</v>
      </c>
      <c r="G502" s="7">
        <v>0</v>
      </c>
      <c r="H502" s="7">
        <v>7.3999999999999996E-2</v>
      </c>
    </row>
    <row r="503" spans="1:8" ht="28.8" x14ac:dyDescent="0.3">
      <c r="A503" s="5">
        <v>423460</v>
      </c>
      <c r="B503" s="5">
        <v>423400</v>
      </c>
      <c r="C503" s="6" t="s">
        <v>542</v>
      </c>
      <c r="D503" s="4" t="s">
        <v>5</v>
      </c>
      <c r="E503" s="1" t="s">
        <v>6</v>
      </c>
      <c r="F503" s="7">
        <v>7.3999999999999996E-2</v>
      </c>
      <c r="G503" s="7">
        <v>0</v>
      </c>
      <c r="H503" s="7">
        <v>7.3999999999999996E-2</v>
      </c>
    </row>
    <row r="504" spans="1:8" ht="28.8" x14ac:dyDescent="0.3">
      <c r="A504" s="5">
        <v>423490</v>
      </c>
      <c r="B504" s="5">
        <v>423400</v>
      </c>
      <c r="C504" s="6" t="s">
        <v>543</v>
      </c>
      <c r="D504" s="4" t="s">
        <v>5</v>
      </c>
      <c r="E504" s="1" t="s">
        <v>6</v>
      </c>
      <c r="F504" s="7">
        <v>7.3999999999999996E-2</v>
      </c>
      <c r="G504" s="7">
        <v>0</v>
      </c>
      <c r="H504" s="7">
        <v>7.3999999999999996E-2</v>
      </c>
    </row>
    <row r="505" spans="1:8" ht="28.8" x14ac:dyDescent="0.3">
      <c r="A505" s="5">
        <v>423510</v>
      </c>
      <c r="B505" s="5" t="s">
        <v>531</v>
      </c>
      <c r="C505" s="6" t="s">
        <v>544</v>
      </c>
      <c r="D505" s="4" t="s">
        <v>5</v>
      </c>
      <c r="E505" s="1" t="s">
        <v>6</v>
      </c>
      <c r="F505" s="7">
        <v>0.108</v>
      </c>
      <c r="G505" s="7">
        <v>0</v>
      </c>
      <c r="H505" s="7">
        <v>0.108</v>
      </c>
    </row>
    <row r="506" spans="1:8" ht="28.8" x14ac:dyDescent="0.3">
      <c r="A506" s="5">
        <v>423520</v>
      </c>
      <c r="B506" s="5" t="s">
        <v>531</v>
      </c>
      <c r="C506" s="6" t="s">
        <v>545</v>
      </c>
      <c r="D506" s="4" t="s">
        <v>5</v>
      </c>
      <c r="E506" s="1" t="s">
        <v>6</v>
      </c>
      <c r="F506" s="7">
        <v>0.108</v>
      </c>
      <c r="G506" s="7">
        <v>0</v>
      </c>
      <c r="H506" s="7">
        <v>0.108</v>
      </c>
    </row>
    <row r="507" spans="1:8" ht="43.2" x14ac:dyDescent="0.3">
      <c r="A507" s="5">
        <v>423610</v>
      </c>
      <c r="B507" s="5">
        <v>423600</v>
      </c>
      <c r="C507" s="6" t="s">
        <v>546</v>
      </c>
      <c r="D507" s="4" t="s">
        <v>5</v>
      </c>
      <c r="E507" s="1" t="s">
        <v>6</v>
      </c>
      <c r="F507" s="7">
        <v>8.3000000000000004E-2</v>
      </c>
      <c r="G507" s="7">
        <v>0</v>
      </c>
      <c r="H507" s="7">
        <v>8.3000000000000004E-2</v>
      </c>
    </row>
    <row r="508" spans="1:8" ht="43.2" x14ac:dyDescent="0.3">
      <c r="A508" s="5">
        <v>423620</v>
      </c>
      <c r="B508" s="5">
        <v>423600</v>
      </c>
      <c r="C508" s="6" t="s">
        <v>547</v>
      </c>
      <c r="D508" s="4" t="s">
        <v>5</v>
      </c>
      <c r="E508" s="1" t="s">
        <v>6</v>
      </c>
      <c r="F508" s="7">
        <v>8.3000000000000004E-2</v>
      </c>
      <c r="G508" s="7">
        <v>0</v>
      </c>
      <c r="H508" s="7">
        <v>8.3000000000000004E-2</v>
      </c>
    </row>
    <row r="509" spans="1:8" ht="28.8" x14ac:dyDescent="0.3">
      <c r="A509" s="5">
        <v>423690</v>
      </c>
      <c r="B509" s="5">
        <v>423600</v>
      </c>
      <c r="C509" s="6" t="s">
        <v>548</v>
      </c>
      <c r="D509" s="4" t="s">
        <v>5</v>
      </c>
      <c r="E509" s="1" t="s">
        <v>6</v>
      </c>
      <c r="F509" s="7">
        <v>8.3000000000000004E-2</v>
      </c>
      <c r="G509" s="7">
        <v>0</v>
      </c>
      <c r="H509" s="7">
        <v>8.3000000000000004E-2</v>
      </c>
    </row>
    <row r="510" spans="1:8" ht="28.8" x14ac:dyDescent="0.3">
      <c r="A510" s="5">
        <v>423710</v>
      </c>
      <c r="B510" s="5" t="s">
        <v>531</v>
      </c>
      <c r="C510" s="6" t="s">
        <v>549</v>
      </c>
      <c r="D510" s="4" t="s">
        <v>5</v>
      </c>
      <c r="E510" s="1" t="s">
        <v>6</v>
      </c>
      <c r="F510" s="7">
        <v>0.108</v>
      </c>
      <c r="G510" s="7">
        <v>0</v>
      </c>
      <c r="H510" s="7">
        <v>0.108</v>
      </c>
    </row>
    <row r="511" spans="1:8" ht="43.2" x14ac:dyDescent="0.3">
      <c r="A511" s="5">
        <v>423720</v>
      </c>
      <c r="B511" s="5" t="s">
        <v>531</v>
      </c>
      <c r="C511" s="6" t="s">
        <v>550</v>
      </c>
      <c r="D511" s="4" t="s">
        <v>5</v>
      </c>
      <c r="E511" s="1" t="s">
        <v>6</v>
      </c>
      <c r="F511" s="7">
        <v>0.108</v>
      </c>
      <c r="G511" s="7">
        <v>0</v>
      </c>
      <c r="H511" s="7">
        <v>0.108</v>
      </c>
    </row>
    <row r="512" spans="1:8" ht="43.2" x14ac:dyDescent="0.3">
      <c r="A512" s="5">
        <v>423730</v>
      </c>
      <c r="B512" s="5" t="s">
        <v>531</v>
      </c>
      <c r="C512" s="6" t="s">
        <v>551</v>
      </c>
      <c r="D512" s="4" t="s">
        <v>5</v>
      </c>
      <c r="E512" s="1" t="s">
        <v>6</v>
      </c>
      <c r="F512" s="7">
        <v>0.108</v>
      </c>
      <c r="G512" s="7">
        <v>0</v>
      </c>
      <c r="H512" s="7">
        <v>0.108</v>
      </c>
    </row>
    <row r="513" spans="1:8" ht="28.8" x14ac:dyDescent="0.3">
      <c r="A513" s="5">
        <v>423740</v>
      </c>
      <c r="B513" s="5" t="s">
        <v>531</v>
      </c>
      <c r="C513" s="6" t="s">
        <v>552</v>
      </c>
      <c r="D513" s="4" t="s">
        <v>5</v>
      </c>
      <c r="E513" s="1" t="s">
        <v>6</v>
      </c>
      <c r="F513" s="7">
        <v>0.108</v>
      </c>
      <c r="G513" s="7">
        <v>0</v>
      </c>
      <c r="H513" s="7">
        <v>0.108</v>
      </c>
    </row>
    <row r="514" spans="1:8" ht="43.2" x14ac:dyDescent="0.3">
      <c r="A514" s="5">
        <v>423810</v>
      </c>
      <c r="B514" s="5">
        <v>423800</v>
      </c>
      <c r="C514" s="6" t="s">
        <v>553</v>
      </c>
      <c r="D514" s="4" t="s">
        <v>5</v>
      </c>
      <c r="E514" s="1" t="s">
        <v>6</v>
      </c>
      <c r="F514" s="7">
        <v>0.115</v>
      </c>
      <c r="G514" s="7">
        <v>0</v>
      </c>
      <c r="H514" s="7">
        <v>0.115</v>
      </c>
    </row>
    <row r="515" spans="1:8" ht="28.8" x14ac:dyDescent="0.3">
      <c r="A515" s="5">
        <v>423820</v>
      </c>
      <c r="B515" s="5">
        <v>423800</v>
      </c>
      <c r="C515" s="6" t="s">
        <v>554</v>
      </c>
      <c r="D515" s="4" t="s">
        <v>5</v>
      </c>
      <c r="E515" s="1" t="s">
        <v>6</v>
      </c>
      <c r="F515" s="7">
        <v>0.115</v>
      </c>
      <c r="G515" s="7">
        <v>0</v>
      </c>
      <c r="H515" s="7">
        <v>0.115</v>
      </c>
    </row>
    <row r="516" spans="1:8" ht="28.8" x14ac:dyDescent="0.3">
      <c r="A516" s="5">
        <v>423830</v>
      </c>
      <c r="B516" s="5">
        <v>423800</v>
      </c>
      <c r="C516" s="6" t="s">
        <v>555</v>
      </c>
      <c r="D516" s="4" t="s">
        <v>5</v>
      </c>
      <c r="E516" s="1" t="s">
        <v>6</v>
      </c>
      <c r="F516" s="7">
        <v>0.115</v>
      </c>
      <c r="G516" s="7">
        <v>0</v>
      </c>
      <c r="H516" s="7">
        <v>0.115</v>
      </c>
    </row>
    <row r="517" spans="1:8" ht="28.8" x14ac:dyDescent="0.3">
      <c r="A517" s="5">
        <v>423840</v>
      </c>
      <c r="B517" s="5">
        <v>423800</v>
      </c>
      <c r="C517" s="6" t="s">
        <v>556</v>
      </c>
      <c r="D517" s="4" t="s">
        <v>5</v>
      </c>
      <c r="E517" s="1" t="s">
        <v>6</v>
      </c>
      <c r="F517" s="7">
        <v>0.115</v>
      </c>
      <c r="G517" s="7">
        <v>0</v>
      </c>
      <c r="H517" s="7">
        <v>0.115</v>
      </c>
    </row>
    <row r="518" spans="1:8" ht="28.8" x14ac:dyDescent="0.3">
      <c r="A518" s="5">
        <v>423850</v>
      </c>
      <c r="B518" s="5">
        <v>423800</v>
      </c>
      <c r="C518" s="6" t="s">
        <v>557</v>
      </c>
      <c r="D518" s="4" t="s">
        <v>5</v>
      </c>
      <c r="E518" s="1" t="s">
        <v>6</v>
      </c>
      <c r="F518" s="7">
        <v>0.115</v>
      </c>
      <c r="G518" s="7">
        <v>0</v>
      </c>
      <c r="H518" s="7">
        <v>0.115</v>
      </c>
    </row>
    <row r="519" spans="1:8" ht="43.2" x14ac:dyDescent="0.3">
      <c r="A519" s="5">
        <v>423860</v>
      </c>
      <c r="B519" s="5">
        <v>423800</v>
      </c>
      <c r="C519" s="6" t="s">
        <v>558</v>
      </c>
      <c r="D519" s="4" t="s">
        <v>5</v>
      </c>
      <c r="E519" s="1" t="s">
        <v>6</v>
      </c>
      <c r="F519" s="7">
        <v>0.115</v>
      </c>
      <c r="G519" s="7">
        <v>0</v>
      </c>
      <c r="H519" s="7">
        <v>0.115</v>
      </c>
    </row>
    <row r="520" spans="1:8" ht="28.8" x14ac:dyDescent="0.3">
      <c r="A520" s="5">
        <v>423910</v>
      </c>
      <c r="B520" s="5" t="s">
        <v>531</v>
      </c>
      <c r="C520" s="6" t="s">
        <v>559</v>
      </c>
      <c r="D520" s="4" t="s">
        <v>5</v>
      </c>
      <c r="E520" s="1" t="s">
        <v>6</v>
      </c>
      <c r="F520" s="7">
        <v>0.108</v>
      </c>
      <c r="G520" s="7">
        <v>0</v>
      </c>
      <c r="H520" s="7">
        <v>0.108</v>
      </c>
    </row>
    <row r="521" spans="1:8" ht="28.8" x14ac:dyDescent="0.3">
      <c r="A521" s="5">
        <v>423920</v>
      </c>
      <c r="B521" s="5" t="s">
        <v>531</v>
      </c>
      <c r="C521" s="6" t="s">
        <v>560</v>
      </c>
      <c r="D521" s="4" t="s">
        <v>5</v>
      </c>
      <c r="E521" s="1" t="s">
        <v>6</v>
      </c>
      <c r="F521" s="7">
        <v>0.108</v>
      </c>
      <c r="G521" s="7">
        <v>0</v>
      </c>
      <c r="H521" s="7">
        <v>0.108</v>
      </c>
    </row>
    <row r="522" spans="1:8" ht="28.8" x14ac:dyDescent="0.3">
      <c r="A522" s="5">
        <v>423930</v>
      </c>
      <c r="B522" s="5" t="s">
        <v>531</v>
      </c>
      <c r="C522" s="6" t="s">
        <v>561</v>
      </c>
      <c r="D522" s="4" t="s">
        <v>5</v>
      </c>
      <c r="E522" s="1" t="s">
        <v>6</v>
      </c>
      <c r="F522" s="7">
        <v>0.108</v>
      </c>
      <c r="G522" s="7">
        <v>0</v>
      </c>
      <c r="H522" s="7">
        <v>0.108</v>
      </c>
    </row>
    <row r="523" spans="1:8" ht="28.8" x14ac:dyDescent="0.3">
      <c r="A523" s="5">
        <v>423940</v>
      </c>
      <c r="B523" s="5" t="s">
        <v>531</v>
      </c>
      <c r="C523" s="6" t="s">
        <v>562</v>
      </c>
      <c r="D523" s="4" t="s">
        <v>5</v>
      </c>
      <c r="E523" s="1" t="s">
        <v>6</v>
      </c>
      <c r="F523" s="7">
        <v>0.108</v>
      </c>
      <c r="G523" s="7">
        <v>0</v>
      </c>
      <c r="H523" s="7">
        <v>0.108</v>
      </c>
    </row>
    <row r="524" spans="1:8" ht="28.8" x14ac:dyDescent="0.3">
      <c r="A524" s="5">
        <v>423990</v>
      </c>
      <c r="B524" s="5" t="s">
        <v>531</v>
      </c>
      <c r="C524" s="6" t="s">
        <v>563</v>
      </c>
      <c r="D524" s="4" t="s">
        <v>5</v>
      </c>
      <c r="E524" s="1" t="s">
        <v>6</v>
      </c>
      <c r="F524" s="7">
        <v>0.108</v>
      </c>
      <c r="G524" s="7">
        <v>0</v>
      </c>
      <c r="H524" s="7">
        <v>0.108</v>
      </c>
    </row>
    <row r="525" spans="1:8" ht="28.8" x14ac:dyDescent="0.3">
      <c r="A525" s="5">
        <v>424110</v>
      </c>
      <c r="B525" s="5" t="s">
        <v>565</v>
      </c>
      <c r="C525" s="6" t="s">
        <v>564</v>
      </c>
      <c r="D525" s="4" t="s">
        <v>5</v>
      </c>
      <c r="E525" s="1" t="s">
        <v>6</v>
      </c>
      <c r="F525" s="7">
        <v>0.14399999999999999</v>
      </c>
      <c r="G525" s="7">
        <v>0</v>
      </c>
      <c r="H525" s="7">
        <v>0.14399999999999999</v>
      </c>
    </row>
    <row r="526" spans="1:8" ht="28.8" x14ac:dyDescent="0.3">
      <c r="A526" s="5">
        <v>424120</v>
      </c>
      <c r="B526" s="5" t="s">
        <v>565</v>
      </c>
      <c r="C526" s="6" t="s">
        <v>566</v>
      </c>
      <c r="D526" s="4" t="s">
        <v>5</v>
      </c>
      <c r="E526" s="1" t="s">
        <v>6</v>
      </c>
      <c r="F526" s="7">
        <v>0.14399999999999999</v>
      </c>
      <c r="G526" s="7">
        <v>0</v>
      </c>
      <c r="H526" s="7">
        <v>0.14399999999999999</v>
      </c>
    </row>
    <row r="527" spans="1:8" ht="28.8" x14ac:dyDescent="0.3">
      <c r="A527" s="5">
        <v>424130</v>
      </c>
      <c r="B527" s="5" t="s">
        <v>565</v>
      </c>
      <c r="C527" s="6" t="s">
        <v>567</v>
      </c>
      <c r="D527" s="4" t="s">
        <v>5</v>
      </c>
      <c r="E527" s="1" t="s">
        <v>6</v>
      </c>
      <c r="F527" s="7">
        <v>0.14399999999999999</v>
      </c>
      <c r="G527" s="7">
        <v>0</v>
      </c>
      <c r="H527" s="7">
        <v>0.14399999999999999</v>
      </c>
    </row>
    <row r="528" spans="1:8" ht="28.8" x14ac:dyDescent="0.3">
      <c r="A528" s="5">
        <v>424210</v>
      </c>
      <c r="B528" s="5">
        <v>424200</v>
      </c>
      <c r="C528" s="6" t="s">
        <v>568</v>
      </c>
      <c r="D528" s="4" t="s">
        <v>5</v>
      </c>
      <c r="E528" s="1" t="s">
        <v>6</v>
      </c>
      <c r="F528" s="7">
        <v>9.5000000000000001E-2</v>
      </c>
      <c r="G528" s="7">
        <v>0</v>
      </c>
      <c r="H528" s="7">
        <v>9.5000000000000001E-2</v>
      </c>
    </row>
    <row r="529" spans="1:8" ht="28.8" x14ac:dyDescent="0.3">
      <c r="A529" s="5">
        <v>424310</v>
      </c>
      <c r="B529" s="5" t="s">
        <v>565</v>
      </c>
      <c r="C529" s="6" t="s">
        <v>569</v>
      </c>
      <c r="D529" s="4" t="s">
        <v>5</v>
      </c>
      <c r="E529" s="1" t="s">
        <v>6</v>
      </c>
      <c r="F529" s="7">
        <v>0.14399999999999999</v>
      </c>
      <c r="G529" s="7">
        <v>0</v>
      </c>
      <c r="H529" s="7">
        <v>0.14399999999999999</v>
      </c>
    </row>
    <row r="530" spans="1:8" ht="28.8" x14ac:dyDescent="0.3">
      <c r="A530" s="5">
        <v>424320</v>
      </c>
      <c r="B530" s="5" t="s">
        <v>565</v>
      </c>
      <c r="C530" s="6" t="s">
        <v>570</v>
      </c>
      <c r="D530" s="4" t="s">
        <v>5</v>
      </c>
      <c r="E530" s="1" t="s">
        <v>6</v>
      </c>
      <c r="F530" s="7">
        <v>0.14399999999999999</v>
      </c>
      <c r="G530" s="7">
        <v>0</v>
      </c>
      <c r="H530" s="7">
        <v>0.14399999999999999</v>
      </c>
    </row>
    <row r="531" spans="1:8" ht="28.8" x14ac:dyDescent="0.3">
      <c r="A531" s="5">
        <v>424330</v>
      </c>
      <c r="B531" s="5" t="s">
        <v>565</v>
      </c>
      <c r="C531" s="6" t="s">
        <v>571</v>
      </c>
      <c r="D531" s="4" t="s">
        <v>5</v>
      </c>
      <c r="E531" s="1" t="s">
        <v>6</v>
      </c>
      <c r="F531" s="7">
        <v>0.14399999999999999</v>
      </c>
      <c r="G531" s="7">
        <v>0</v>
      </c>
      <c r="H531" s="7">
        <v>0.14399999999999999</v>
      </c>
    </row>
    <row r="532" spans="1:8" ht="28.8" x14ac:dyDescent="0.3">
      <c r="A532" s="5">
        <v>424340</v>
      </c>
      <c r="B532" s="5" t="s">
        <v>565</v>
      </c>
      <c r="C532" s="6" t="s">
        <v>572</v>
      </c>
      <c r="D532" s="4" t="s">
        <v>5</v>
      </c>
      <c r="E532" s="1" t="s">
        <v>6</v>
      </c>
      <c r="F532" s="7">
        <v>0.14399999999999999</v>
      </c>
      <c r="G532" s="7">
        <v>0</v>
      </c>
      <c r="H532" s="7">
        <v>0.14399999999999999</v>
      </c>
    </row>
    <row r="533" spans="1:8" ht="28.8" x14ac:dyDescent="0.3">
      <c r="A533" s="5">
        <v>424410</v>
      </c>
      <c r="B533" s="5">
        <v>424400</v>
      </c>
      <c r="C533" s="6" t="s">
        <v>573</v>
      </c>
      <c r="D533" s="4" t="s">
        <v>5</v>
      </c>
      <c r="E533" s="1" t="s">
        <v>6</v>
      </c>
      <c r="F533" s="7">
        <v>0.159</v>
      </c>
      <c r="G533" s="7">
        <v>0</v>
      </c>
      <c r="H533" s="7">
        <v>0.159</v>
      </c>
    </row>
    <row r="534" spans="1:8" ht="28.8" x14ac:dyDescent="0.3">
      <c r="A534" s="5">
        <v>424420</v>
      </c>
      <c r="B534" s="5">
        <v>424400</v>
      </c>
      <c r="C534" s="6" t="s">
        <v>574</v>
      </c>
      <c r="D534" s="4" t="s">
        <v>5</v>
      </c>
      <c r="E534" s="1" t="s">
        <v>6</v>
      </c>
      <c r="F534" s="7">
        <v>0.159</v>
      </c>
      <c r="G534" s="7">
        <v>0</v>
      </c>
      <c r="H534" s="7">
        <v>0.159</v>
      </c>
    </row>
    <row r="535" spans="1:8" ht="28.8" x14ac:dyDescent="0.3">
      <c r="A535" s="5">
        <v>424430</v>
      </c>
      <c r="B535" s="5">
        <v>424400</v>
      </c>
      <c r="C535" s="6" t="s">
        <v>575</v>
      </c>
      <c r="D535" s="4" t="s">
        <v>5</v>
      </c>
      <c r="E535" s="1" t="s">
        <v>6</v>
      </c>
      <c r="F535" s="7">
        <v>0.159</v>
      </c>
      <c r="G535" s="7">
        <v>0</v>
      </c>
      <c r="H535" s="7">
        <v>0.159</v>
      </c>
    </row>
    <row r="536" spans="1:8" ht="28.8" x14ac:dyDescent="0.3">
      <c r="A536" s="5">
        <v>424440</v>
      </c>
      <c r="B536" s="5">
        <v>424400</v>
      </c>
      <c r="C536" s="6" t="s">
        <v>576</v>
      </c>
      <c r="D536" s="4" t="s">
        <v>5</v>
      </c>
      <c r="E536" s="1" t="s">
        <v>6</v>
      </c>
      <c r="F536" s="7">
        <v>0.159</v>
      </c>
      <c r="G536" s="7">
        <v>0</v>
      </c>
      <c r="H536" s="7">
        <v>0.159</v>
      </c>
    </row>
    <row r="537" spans="1:8" ht="28.8" x14ac:dyDescent="0.3">
      <c r="A537" s="5">
        <v>424450</v>
      </c>
      <c r="B537" s="5">
        <v>424400</v>
      </c>
      <c r="C537" s="6" t="s">
        <v>577</v>
      </c>
      <c r="D537" s="4" t="s">
        <v>5</v>
      </c>
      <c r="E537" s="1" t="s">
        <v>6</v>
      </c>
      <c r="F537" s="7">
        <v>0.159</v>
      </c>
      <c r="G537" s="7">
        <v>0</v>
      </c>
      <c r="H537" s="7">
        <v>0.159</v>
      </c>
    </row>
    <row r="538" spans="1:8" ht="28.8" x14ac:dyDescent="0.3">
      <c r="A538" s="5">
        <v>424460</v>
      </c>
      <c r="B538" s="5">
        <v>424400</v>
      </c>
      <c r="C538" s="6" t="s">
        <v>578</v>
      </c>
      <c r="D538" s="4" t="s">
        <v>5</v>
      </c>
      <c r="E538" s="1" t="s">
        <v>6</v>
      </c>
      <c r="F538" s="7">
        <v>0.159</v>
      </c>
      <c r="G538" s="7">
        <v>0</v>
      </c>
      <c r="H538" s="7">
        <v>0.159</v>
      </c>
    </row>
    <row r="539" spans="1:8" ht="28.8" x14ac:dyDescent="0.3">
      <c r="A539" s="5">
        <v>424470</v>
      </c>
      <c r="B539" s="5">
        <v>424400</v>
      </c>
      <c r="C539" s="6" t="s">
        <v>579</v>
      </c>
      <c r="D539" s="4" t="s">
        <v>5</v>
      </c>
      <c r="E539" s="1" t="s">
        <v>6</v>
      </c>
      <c r="F539" s="7">
        <v>0.159</v>
      </c>
      <c r="G539" s="7">
        <v>0</v>
      </c>
      <c r="H539" s="7">
        <v>0.159</v>
      </c>
    </row>
    <row r="540" spans="1:8" ht="28.8" x14ac:dyDescent="0.3">
      <c r="A540" s="5">
        <v>424480</v>
      </c>
      <c r="B540" s="5">
        <v>424400</v>
      </c>
      <c r="C540" s="6" t="s">
        <v>580</v>
      </c>
      <c r="D540" s="4" t="s">
        <v>5</v>
      </c>
      <c r="E540" s="1" t="s">
        <v>6</v>
      </c>
      <c r="F540" s="7">
        <v>0.159</v>
      </c>
      <c r="G540" s="7">
        <v>0</v>
      </c>
      <c r="H540" s="7">
        <v>0.159</v>
      </c>
    </row>
    <row r="541" spans="1:8" ht="28.8" x14ac:dyDescent="0.3">
      <c r="A541" s="5">
        <v>424490</v>
      </c>
      <c r="B541" s="5">
        <v>424400</v>
      </c>
      <c r="C541" s="6" t="s">
        <v>581</v>
      </c>
      <c r="D541" s="4" t="s">
        <v>5</v>
      </c>
      <c r="E541" s="1" t="s">
        <v>6</v>
      </c>
      <c r="F541" s="7">
        <v>0.159</v>
      </c>
      <c r="G541" s="7">
        <v>0</v>
      </c>
      <c r="H541" s="7">
        <v>0.159</v>
      </c>
    </row>
    <row r="542" spans="1:8" ht="28.8" x14ac:dyDescent="0.3">
      <c r="A542" s="5">
        <v>424510</v>
      </c>
      <c r="B542" s="5" t="s">
        <v>565</v>
      </c>
      <c r="C542" s="6" t="s">
        <v>582</v>
      </c>
      <c r="D542" s="4" t="s">
        <v>5</v>
      </c>
      <c r="E542" s="1" t="s">
        <v>6</v>
      </c>
      <c r="F542" s="7">
        <v>0.14399999999999999</v>
      </c>
      <c r="G542" s="7">
        <v>0</v>
      </c>
      <c r="H542" s="7">
        <v>0.14399999999999999</v>
      </c>
    </row>
    <row r="543" spans="1:8" ht="28.8" x14ac:dyDescent="0.3">
      <c r="A543" s="5">
        <v>424520</v>
      </c>
      <c r="B543" s="5" t="s">
        <v>565</v>
      </c>
      <c r="C543" s="6" t="s">
        <v>583</v>
      </c>
      <c r="D543" s="4" t="s">
        <v>5</v>
      </c>
      <c r="E543" s="1" t="s">
        <v>6</v>
      </c>
      <c r="F543" s="7">
        <v>0.14399999999999999</v>
      </c>
      <c r="G543" s="7">
        <v>0</v>
      </c>
      <c r="H543" s="7">
        <v>0.14399999999999999</v>
      </c>
    </row>
    <row r="544" spans="1:8" ht="28.8" x14ac:dyDescent="0.3">
      <c r="A544" s="5">
        <v>424590</v>
      </c>
      <c r="B544" s="5" t="s">
        <v>565</v>
      </c>
      <c r="C544" s="6" t="s">
        <v>584</v>
      </c>
      <c r="D544" s="4" t="s">
        <v>5</v>
      </c>
      <c r="E544" s="1" t="s">
        <v>6</v>
      </c>
      <c r="F544" s="7">
        <v>0.14399999999999999</v>
      </c>
      <c r="G544" s="7">
        <v>0</v>
      </c>
      <c r="H544" s="7">
        <v>0.14399999999999999</v>
      </c>
    </row>
    <row r="545" spans="1:8" ht="28.8" x14ac:dyDescent="0.3">
      <c r="A545" s="5">
        <v>424610</v>
      </c>
      <c r="B545" s="5" t="s">
        <v>565</v>
      </c>
      <c r="C545" s="6" t="s">
        <v>585</v>
      </c>
      <c r="D545" s="4" t="s">
        <v>5</v>
      </c>
      <c r="E545" s="1" t="s">
        <v>6</v>
      </c>
      <c r="F545" s="7">
        <v>0.14399999999999999</v>
      </c>
      <c r="G545" s="7">
        <v>0</v>
      </c>
      <c r="H545" s="7">
        <v>0.14399999999999999</v>
      </c>
    </row>
    <row r="546" spans="1:8" ht="28.8" x14ac:dyDescent="0.3">
      <c r="A546" s="5">
        <v>424690</v>
      </c>
      <c r="B546" s="5" t="s">
        <v>565</v>
      </c>
      <c r="C546" s="6" t="s">
        <v>586</v>
      </c>
      <c r="D546" s="4" t="s">
        <v>5</v>
      </c>
      <c r="E546" s="1" t="s">
        <v>6</v>
      </c>
      <c r="F546" s="7">
        <v>0.14399999999999999</v>
      </c>
      <c r="G546" s="7">
        <v>0</v>
      </c>
      <c r="H546" s="7">
        <v>0.14399999999999999</v>
      </c>
    </row>
    <row r="547" spans="1:8" ht="28.8" x14ac:dyDescent="0.3">
      <c r="A547" s="5">
        <v>424710</v>
      </c>
      <c r="B547" s="5">
        <v>424700</v>
      </c>
      <c r="C547" s="6" t="s">
        <v>587</v>
      </c>
      <c r="D547" s="4" t="s">
        <v>5</v>
      </c>
      <c r="E547" s="1" t="s">
        <v>6</v>
      </c>
      <c r="F547" s="7">
        <v>0.10199999999999999</v>
      </c>
      <c r="G547" s="7">
        <v>0</v>
      </c>
      <c r="H547" s="7">
        <v>0.10199999999999999</v>
      </c>
    </row>
    <row r="548" spans="1:8" ht="43.2" x14ac:dyDescent="0.3">
      <c r="A548" s="5">
        <v>424720</v>
      </c>
      <c r="B548" s="5">
        <v>424700</v>
      </c>
      <c r="C548" s="6" t="s">
        <v>588</v>
      </c>
      <c r="D548" s="4" t="s">
        <v>5</v>
      </c>
      <c r="E548" s="1" t="s">
        <v>6</v>
      </c>
      <c r="F548" s="7">
        <v>0.10199999999999999</v>
      </c>
      <c r="G548" s="7">
        <v>0</v>
      </c>
      <c r="H548" s="7">
        <v>0.10199999999999999</v>
      </c>
    </row>
    <row r="549" spans="1:8" ht="28.8" x14ac:dyDescent="0.3">
      <c r="A549" s="5">
        <v>424810</v>
      </c>
      <c r="B549" s="5" t="s">
        <v>565</v>
      </c>
      <c r="C549" s="6" t="s">
        <v>589</v>
      </c>
      <c r="D549" s="4" t="s">
        <v>5</v>
      </c>
      <c r="E549" s="1" t="s">
        <v>6</v>
      </c>
      <c r="F549" s="7">
        <v>0.14399999999999999</v>
      </c>
      <c r="G549" s="7">
        <v>0</v>
      </c>
      <c r="H549" s="7">
        <v>0.14399999999999999</v>
      </c>
    </row>
    <row r="550" spans="1:8" ht="28.8" x14ac:dyDescent="0.3">
      <c r="A550" s="5">
        <v>424820</v>
      </c>
      <c r="B550" s="5" t="s">
        <v>565</v>
      </c>
      <c r="C550" s="6" t="s">
        <v>590</v>
      </c>
      <c r="D550" s="4" t="s">
        <v>5</v>
      </c>
      <c r="E550" s="1" t="s">
        <v>6</v>
      </c>
      <c r="F550" s="7">
        <v>0.14399999999999999</v>
      </c>
      <c r="G550" s="7">
        <v>0</v>
      </c>
      <c r="H550" s="7">
        <v>0.14399999999999999</v>
      </c>
    </row>
    <row r="551" spans="1:8" ht="28.8" x14ac:dyDescent="0.3">
      <c r="A551" s="5">
        <v>424910</v>
      </c>
      <c r="B551" s="5" t="s">
        <v>565</v>
      </c>
      <c r="C551" s="6" t="s">
        <v>591</v>
      </c>
      <c r="D551" s="4" t="s">
        <v>5</v>
      </c>
      <c r="E551" s="1" t="s">
        <v>6</v>
      </c>
      <c r="F551" s="7">
        <v>0.14399999999999999</v>
      </c>
      <c r="G551" s="7">
        <v>0</v>
      </c>
      <c r="H551" s="7">
        <v>0.14399999999999999</v>
      </c>
    </row>
    <row r="552" spans="1:8" ht="28.8" x14ac:dyDescent="0.3">
      <c r="A552" s="5">
        <v>424920</v>
      </c>
      <c r="B552" s="5" t="s">
        <v>565</v>
      </c>
      <c r="C552" s="6" t="s">
        <v>592</v>
      </c>
      <c r="D552" s="4" t="s">
        <v>5</v>
      </c>
      <c r="E552" s="1" t="s">
        <v>6</v>
      </c>
      <c r="F552" s="7">
        <v>0.14399999999999999</v>
      </c>
      <c r="G552" s="7">
        <v>0</v>
      </c>
      <c r="H552" s="7">
        <v>0.14399999999999999</v>
      </c>
    </row>
    <row r="553" spans="1:8" ht="28.8" x14ac:dyDescent="0.3">
      <c r="A553" s="5">
        <v>424930</v>
      </c>
      <c r="B553" s="5" t="s">
        <v>565</v>
      </c>
      <c r="C553" s="6" t="s">
        <v>593</v>
      </c>
      <c r="D553" s="4" t="s">
        <v>5</v>
      </c>
      <c r="E553" s="1" t="s">
        <v>6</v>
      </c>
      <c r="F553" s="7">
        <v>0.14399999999999999</v>
      </c>
      <c r="G553" s="7">
        <v>0</v>
      </c>
      <c r="H553" s="7">
        <v>0.14399999999999999</v>
      </c>
    </row>
    <row r="554" spans="1:8" ht="28.8" x14ac:dyDescent="0.3">
      <c r="A554" s="5">
        <v>424940</v>
      </c>
      <c r="B554" s="5" t="s">
        <v>565</v>
      </c>
      <c r="C554" s="6" t="s">
        <v>594</v>
      </c>
      <c r="D554" s="4" t="s">
        <v>5</v>
      </c>
      <c r="E554" s="1" t="s">
        <v>6</v>
      </c>
      <c r="F554" s="7">
        <v>0.14399999999999999</v>
      </c>
      <c r="G554" s="7">
        <v>0</v>
      </c>
      <c r="H554" s="7">
        <v>0.14399999999999999</v>
      </c>
    </row>
    <row r="555" spans="1:8" ht="28.8" x14ac:dyDescent="0.3">
      <c r="A555" s="5">
        <v>424950</v>
      </c>
      <c r="B555" s="5" t="s">
        <v>565</v>
      </c>
      <c r="C555" s="6" t="s">
        <v>595</v>
      </c>
      <c r="D555" s="4" t="s">
        <v>5</v>
      </c>
      <c r="E555" s="1" t="s">
        <v>6</v>
      </c>
      <c r="F555" s="7">
        <v>0.14399999999999999</v>
      </c>
      <c r="G555" s="7">
        <v>0</v>
      </c>
      <c r="H555" s="7">
        <v>0.14399999999999999</v>
      </c>
    </row>
    <row r="556" spans="1:8" ht="28.8" x14ac:dyDescent="0.3">
      <c r="A556" s="5">
        <v>424990</v>
      </c>
      <c r="B556" s="5" t="s">
        <v>565</v>
      </c>
      <c r="C556" s="6" t="s">
        <v>596</v>
      </c>
      <c r="D556" s="4" t="s">
        <v>5</v>
      </c>
      <c r="E556" s="1" t="s">
        <v>6</v>
      </c>
      <c r="F556" s="7">
        <v>0.14399999999999999</v>
      </c>
      <c r="G556" s="7">
        <v>0</v>
      </c>
      <c r="H556" s="7">
        <v>0.14399999999999999</v>
      </c>
    </row>
    <row r="557" spans="1:8" ht="28.8" x14ac:dyDescent="0.3">
      <c r="A557" s="5">
        <v>425110</v>
      </c>
      <c r="B557" s="5">
        <v>425000</v>
      </c>
      <c r="C557" s="6" t="s">
        <v>597</v>
      </c>
      <c r="D557" s="4" t="s">
        <v>5</v>
      </c>
      <c r="E557" s="1" t="s">
        <v>6</v>
      </c>
      <c r="F557" s="7">
        <v>9.1999999999999998E-2</v>
      </c>
      <c r="G557" s="7">
        <v>0</v>
      </c>
      <c r="H557" s="7">
        <v>9.1999999999999998E-2</v>
      </c>
    </row>
    <row r="558" spans="1:8" ht="28.8" x14ac:dyDescent="0.3">
      <c r="A558" s="5">
        <v>425120</v>
      </c>
      <c r="B558" s="5">
        <v>425000</v>
      </c>
      <c r="C558" s="6" t="s">
        <v>598</v>
      </c>
      <c r="D558" s="4" t="s">
        <v>5</v>
      </c>
      <c r="E558" s="1" t="s">
        <v>6</v>
      </c>
      <c r="F558" s="7">
        <v>9.1999999999999998E-2</v>
      </c>
      <c r="G558" s="7">
        <v>0</v>
      </c>
      <c r="H558" s="7">
        <v>9.1999999999999998E-2</v>
      </c>
    </row>
    <row r="559" spans="1:8" ht="28.8" x14ac:dyDescent="0.3">
      <c r="A559" s="5">
        <v>441110</v>
      </c>
      <c r="B559" s="5">
        <v>441000</v>
      </c>
      <c r="C559" s="6" t="s">
        <v>599</v>
      </c>
      <c r="D559" s="4" t="s">
        <v>5</v>
      </c>
      <c r="E559" s="1" t="s">
        <v>6</v>
      </c>
      <c r="F559" s="7">
        <v>7.2999999999999995E-2</v>
      </c>
      <c r="G559" s="7">
        <v>0</v>
      </c>
      <c r="H559" s="7">
        <v>7.2999999999999995E-2</v>
      </c>
    </row>
    <row r="560" spans="1:8" ht="28.8" x14ac:dyDescent="0.3">
      <c r="A560" s="5">
        <v>441120</v>
      </c>
      <c r="B560" s="5">
        <v>441000</v>
      </c>
      <c r="C560" s="6" t="s">
        <v>600</v>
      </c>
      <c r="D560" s="4" t="s">
        <v>5</v>
      </c>
      <c r="E560" s="1" t="s">
        <v>6</v>
      </c>
      <c r="F560" s="7">
        <v>7.2999999999999995E-2</v>
      </c>
      <c r="G560" s="7">
        <v>0</v>
      </c>
      <c r="H560" s="7">
        <v>7.2999999999999995E-2</v>
      </c>
    </row>
    <row r="561" spans="1:8" ht="28.8" x14ac:dyDescent="0.3">
      <c r="A561" s="5">
        <v>441210</v>
      </c>
      <c r="B561" s="5">
        <v>441000</v>
      </c>
      <c r="C561" s="6" t="s">
        <v>601</v>
      </c>
      <c r="D561" s="4" t="s">
        <v>5</v>
      </c>
      <c r="E561" s="1" t="s">
        <v>6</v>
      </c>
      <c r="F561" s="7">
        <v>7.2999999999999995E-2</v>
      </c>
      <c r="G561" s="7">
        <v>0</v>
      </c>
      <c r="H561" s="7">
        <v>7.2999999999999995E-2</v>
      </c>
    </row>
    <row r="562" spans="1:8" ht="28.8" x14ac:dyDescent="0.3">
      <c r="A562" s="5">
        <v>441222</v>
      </c>
      <c r="B562" s="5">
        <v>441000</v>
      </c>
      <c r="C562" s="6" t="s">
        <v>602</v>
      </c>
      <c r="D562" s="4" t="s">
        <v>5</v>
      </c>
      <c r="E562" s="1" t="s">
        <v>6</v>
      </c>
      <c r="F562" s="7">
        <v>7.2999999999999995E-2</v>
      </c>
      <c r="G562" s="7">
        <v>0</v>
      </c>
      <c r="H562" s="7">
        <v>7.2999999999999995E-2</v>
      </c>
    </row>
    <row r="563" spans="1:8" ht="28.8" x14ac:dyDescent="0.3">
      <c r="A563" s="5">
        <v>441228</v>
      </c>
      <c r="B563" s="5">
        <v>441000</v>
      </c>
      <c r="C563" s="6" t="s">
        <v>603</v>
      </c>
      <c r="D563" s="4" t="s">
        <v>5</v>
      </c>
      <c r="E563" s="1" t="s">
        <v>6</v>
      </c>
      <c r="F563" s="7">
        <v>7.2999999999999995E-2</v>
      </c>
      <c r="G563" s="7">
        <v>0</v>
      </c>
      <c r="H563" s="7">
        <v>7.2999999999999995E-2</v>
      </c>
    </row>
    <row r="564" spans="1:8" ht="28.8" x14ac:dyDescent="0.3">
      <c r="A564" s="5">
        <v>441310</v>
      </c>
      <c r="B564" s="5">
        <v>441000</v>
      </c>
      <c r="C564" s="6" t="s">
        <v>604</v>
      </c>
      <c r="D564" s="4" t="s">
        <v>5</v>
      </c>
      <c r="E564" s="1" t="s">
        <v>6</v>
      </c>
      <c r="F564" s="7">
        <v>7.2999999999999995E-2</v>
      </c>
      <c r="G564" s="7">
        <v>0</v>
      </c>
      <c r="H564" s="7">
        <v>7.2999999999999995E-2</v>
      </c>
    </row>
    <row r="565" spans="1:8" ht="28.8" x14ac:dyDescent="0.3">
      <c r="A565" s="5">
        <v>441320</v>
      </c>
      <c r="B565" s="5">
        <v>441000</v>
      </c>
      <c r="C565" s="6" t="s">
        <v>605</v>
      </c>
      <c r="D565" s="4" t="s">
        <v>5</v>
      </c>
      <c r="E565" s="1" t="s">
        <v>6</v>
      </c>
      <c r="F565" s="7">
        <v>7.2999999999999995E-2</v>
      </c>
      <c r="G565" s="7">
        <v>0</v>
      </c>
      <c r="H565" s="7">
        <v>7.2999999999999995E-2</v>
      </c>
    </row>
    <row r="566" spans="1:8" ht="28.8" x14ac:dyDescent="0.3">
      <c r="A566" s="5">
        <v>442110</v>
      </c>
      <c r="B566" s="5" t="s">
        <v>607</v>
      </c>
      <c r="C566" s="6" t="s">
        <v>606</v>
      </c>
      <c r="D566" s="4" t="s">
        <v>5</v>
      </c>
      <c r="E566" s="1" t="s">
        <v>6</v>
      </c>
      <c r="F566" s="7">
        <v>0.111</v>
      </c>
      <c r="G566" s="7">
        <v>0</v>
      </c>
      <c r="H566" s="7">
        <v>0.111</v>
      </c>
    </row>
    <row r="567" spans="1:8" ht="28.8" x14ac:dyDescent="0.3">
      <c r="A567" s="5">
        <v>442210</v>
      </c>
      <c r="B567" s="5" t="s">
        <v>607</v>
      </c>
      <c r="C567" s="6" t="s">
        <v>608</v>
      </c>
      <c r="D567" s="4" t="s">
        <v>5</v>
      </c>
      <c r="E567" s="1" t="s">
        <v>6</v>
      </c>
      <c r="F567" s="7">
        <v>0.111</v>
      </c>
      <c r="G567" s="7">
        <v>0</v>
      </c>
      <c r="H567" s="7">
        <v>0.111</v>
      </c>
    </row>
    <row r="568" spans="1:8" ht="28.8" x14ac:dyDescent="0.3">
      <c r="A568" s="5">
        <v>442291</v>
      </c>
      <c r="B568" s="5" t="s">
        <v>607</v>
      </c>
      <c r="C568" s="6" t="s">
        <v>609</v>
      </c>
      <c r="D568" s="4" t="s">
        <v>5</v>
      </c>
      <c r="E568" s="1" t="s">
        <v>6</v>
      </c>
      <c r="F568" s="7">
        <v>0.111</v>
      </c>
      <c r="G568" s="7">
        <v>0</v>
      </c>
      <c r="H568" s="7">
        <v>0.111</v>
      </c>
    </row>
    <row r="569" spans="1:8" ht="28.8" x14ac:dyDescent="0.3">
      <c r="A569" s="5">
        <v>442299</v>
      </c>
      <c r="B569" s="5" t="s">
        <v>607</v>
      </c>
      <c r="C569" s="6" t="s">
        <v>610</v>
      </c>
      <c r="D569" s="4" t="s">
        <v>5</v>
      </c>
      <c r="E569" s="1" t="s">
        <v>6</v>
      </c>
      <c r="F569" s="7">
        <v>0.111</v>
      </c>
      <c r="G569" s="7">
        <v>0</v>
      </c>
      <c r="H569" s="7">
        <v>0.111</v>
      </c>
    </row>
    <row r="570" spans="1:8" ht="28.8" x14ac:dyDescent="0.3">
      <c r="A570" s="5">
        <v>443141</v>
      </c>
      <c r="B570" s="5" t="s">
        <v>607</v>
      </c>
      <c r="C570" s="6" t="s">
        <v>611</v>
      </c>
      <c r="D570" s="4" t="s">
        <v>5</v>
      </c>
      <c r="E570" s="1" t="s">
        <v>6</v>
      </c>
      <c r="F570" s="7">
        <v>0.111</v>
      </c>
      <c r="G570" s="7">
        <v>0</v>
      </c>
      <c r="H570" s="7">
        <v>0.111</v>
      </c>
    </row>
    <row r="571" spans="1:8" ht="28.8" x14ac:dyDescent="0.3">
      <c r="A571" s="5">
        <v>443142</v>
      </c>
      <c r="B571" s="5" t="s">
        <v>607</v>
      </c>
      <c r="C571" s="6" t="s">
        <v>612</v>
      </c>
      <c r="D571" s="4" t="s">
        <v>5</v>
      </c>
      <c r="E571" s="1" t="s">
        <v>6</v>
      </c>
      <c r="F571" s="7">
        <v>0.111</v>
      </c>
      <c r="G571" s="7">
        <v>0</v>
      </c>
      <c r="H571" s="7">
        <v>0.111</v>
      </c>
    </row>
    <row r="572" spans="1:8" ht="28.8" x14ac:dyDescent="0.3">
      <c r="A572" s="5">
        <v>444110</v>
      </c>
      <c r="B572" s="5">
        <v>444000</v>
      </c>
      <c r="C572" s="6" t="s">
        <v>613</v>
      </c>
      <c r="D572" s="4" t="s">
        <v>5</v>
      </c>
      <c r="E572" s="1" t="s">
        <v>6</v>
      </c>
      <c r="F572" s="7">
        <v>8.6999999999999994E-2</v>
      </c>
      <c r="G572" s="7">
        <v>0</v>
      </c>
      <c r="H572" s="7">
        <v>8.6999999999999994E-2</v>
      </c>
    </row>
    <row r="573" spans="1:8" ht="28.8" x14ac:dyDescent="0.3">
      <c r="A573" s="5">
        <v>444120</v>
      </c>
      <c r="B573" s="5">
        <v>444000</v>
      </c>
      <c r="C573" s="6" t="s">
        <v>614</v>
      </c>
      <c r="D573" s="4" t="s">
        <v>5</v>
      </c>
      <c r="E573" s="1" t="s">
        <v>6</v>
      </c>
      <c r="F573" s="7">
        <v>8.6999999999999994E-2</v>
      </c>
      <c r="G573" s="7">
        <v>0</v>
      </c>
      <c r="H573" s="7">
        <v>8.6999999999999994E-2</v>
      </c>
    </row>
    <row r="574" spans="1:8" ht="28.8" x14ac:dyDescent="0.3">
      <c r="A574" s="5">
        <v>444130</v>
      </c>
      <c r="B574" s="5">
        <v>444000</v>
      </c>
      <c r="C574" s="6" t="s">
        <v>615</v>
      </c>
      <c r="D574" s="4" t="s">
        <v>5</v>
      </c>
      <c r="E574" s="1" t="s">
        <v>6</v>
      </c>
      <c r="F574" s="7">
        <v>8.6999999999999994E-2</v>
      </c>
      <c r="G574" s="7">
        <v>0</v>
      </c>
      <c r="H574" s="7">
        <v>8.6999999999999994E-2</v>
      </c>
    </row>
    <row r="575" spans="1:8" ht="28.8" x14ac:dyDescent="0.3">
      <c r="A575" s="5">
        <v>444190</v>
      </c>
      <c r="B575" s="5">
        <v>444000</v>
      </c>
      <c r="C575" s="6" t="s">
        <v>616</v>
      </c>
      <c r="D575" s="4" t="s">
        <v>5</v>
      </c>
      <c r="E575" s="1" t="s">
        <v>6</v>
      </c>
      <c r="F575" s="7">
        <v>8.6999999999999994E-2</v>
      </c>
      <c r="G575" s="7">
        <v>0</v>
      </c>
      <c r="H575" s="7">
        <v>8.6999999999999994E-2</v>
      </c>
    </row>
    <row r="576" spans="1:8" ht="28.8" x14ac:dyDescent="0.3">
      <c r="A576" s="5">
        <v>444210</v>
      </c>
      <c r="B576" s="5">
        <v>444000</v>
      </c>
      <c r="C576" s="6" t="s">
        <v>617</v>
      </c>
      <c r="D576" s="4" t="s">
        <v>5</v>
      </c>
      <c r="E576" s="1" t="s">
        <v>6</v>
      </c>
      <c r="F576" s="7">
        <v>8.6999999999999994E-2</v>
      </c>
      <c r="G576" s="7">
        <v>0</v>
      </c>
      <c r="H576" s="7">
        <v>8.6999999999999994E-2</v>
      </c>
    </row>
    <row r="577" spans="1:8" ht="28.8" x14ac:dyDescent="0.3">
      <c r="A577" s="5">
        <v>444220</v>
      </c>
      <c r="B577" s="5">
        <v>444000</v>
      </c>
      <c r="C577" s="6" t="s">
        <v>618</v>
      </c>
      <c r="D577" s="4" t="s">
        <v>5</v>
      </c>
      <c r="E577" s="1" t="s">
        <v>6</v>
      </c>
      <c r="F577" s="7">
        <v>8.6999999999999994E-2</v>
      </c>
      <c r="G577" s="7">
        <v>0</v>
      </c>
      <c r="H577" s="7">
        <v>8.6999999999999994E-2</v>
      </c>
    </row>
    <row r="578" spans="1:8" ht="28.8" x14ac:dyDescent="0.3">
      <c r="A578" s="5">
        <v>445110</v>
      </c>
      <c r="B578" s="5">
        <v>445000</v>
      </c>
      <c r="C578" s="6" t="s">
        <v>619</v>
      </c>
      <c r="D578" s="4" t="s">
        <v>5</v>
      </c>
      <c r="E578" s="1" t="s">
        <v>6</v>
      </c>
      <c r="F578" s="7">
        <v>0.186</v>
      </c>
      <c r="G578" s="7">
        <v>0</v>
      </c>
      <c r="H578" s="7">
        <v>0.186</v>
      </c>
    </row>
    <row r="579" spans="1:8" ht="28.8" x14ac:dyDescent="0.3">
      <c r="A579" s="5">
        <v>445120</v>
      </c>
      <c r="B579" s="5">
        <v>445000</v>
      </c>
      <c r="C579" s="6" t="s">
        <v>620</v>
      </c>
      <c r="D579" s="4" t="s">
        <v>5</v>
      </c>
      <c r="E579" s="1" t="s">
        <v>6</v>
      </c>
      <c r="F579" s="7">
        <v>0.186</v>
      </c>
      <c r="G579" s="7">
        <v>0</v>
      </c>
      <c r="H579" s="7">
        <v>0.186</v>
      </c>
    </row>
    <row r="580" spans="1:8" ht="28.8" x14ac:dyDescent="0.3">
      <c r="A580" s="5">
        <v>445210</v>
      </c>
      <c r="B580" s="5">
        <v>445000</v>
      </c>
      <c r="C580" s="6" t="s">
        <v>621</v>
      </c>
      <c r="D580" s="4" t="s">
        <v>5</v>
      </c>
      <c r="E580" s="1" t="s">
        <v>6</v>
      </c>
      <c r="F580" s="7">
        <v>0.186</v>
      </c>
      <c r="G580" s="7">
        <v>0</v>
      </c>
      <c r="H580" s="7">
        <v>0.186</v>
      </c>
    </row>
    <row r="581" spans="1:8" ht="28.8" x14ac:dyDescent="0.3">
      <c r="A581" s="5">
        <v>445220</v>
      </c>
      <c r="B581" s="5">
        <v>445000</v>
      </c>
      <c r="C581" s="6" t="s">
        <v>622</v>
      </c>
      <c r="D581" s="4" t="s">
        <v>5</v>
      </c>
      <c r="E581" s="1" t="s">
        <v>6</v>
      </c>
      <c r="F581" s="7">
        <v>0.186</v>
      </c>
      <c r="G581" s="7">
        <v>0</v>
      </c>
      <c r="H581" s="7">
        <v>0.186</v>
      </c>
    </row>
    <row r="582" spans="1:8" ht="28.8" x14ac:dyDescent="0.3">
      <c r="A582" s="5">
        <v>445230</v>
      </c>
      <c r="B582" s="5">
        <v>445000</v>
      </c>
      <c r="C582" s="6" t="s">
        <v>623</v>
      </c>
      <c r="D582" s="4" t="s">
        <v>5</v>
      </c>
      <c r="E582" s="1" t="s">
        <v>6</v>
      </c>
      <c r="F582" s="7">
        <v>0.186</v>
      </c>
      <c r="G582" s="7">
        <v>0</v>
      </c>
      <c r="H582" s="7">
        <v>0.186</v>
      </c>
    </row>
    <row r="583" spans="1:8" ht="28.8" x14ac:dyDescent="0.3">
      <c r="A583" s="5">
        <v>445291</v>
      </c>
      <c r="B583" s="5">
        <v>445000</v>
      </c>
      <c r="C583" s="6" t="s">
        <v>624</v>
      </c>
      <c r="D583" s="4" t="s">
        <v>5</v>
      </c>
      <c r="E583" s="1" t="s">
        <v>6</v>
      </c>
      <c r="F583" s="7">
        <v>0.186</v>
      </c>
      <c r="G583" s="7">
        <v>0</v>
      </c>
      <c r="H583" s="7">
        <v>0.186</v>
      </c>
    </row>
    <row r="584" spans="1:8" ht="28.8" x14ac:dyDescent="0.3">
      <c r="A584" s="5">
        <v>445292</v>
      </c>
      <c r="B584" s="5">
        <v>445000</v>
      </c>
      <c r="C584" s="6" t="s">
        <v>625</v>
      </c>
      <c r="D584" s="4" t="s">
        <v>5</v>
      </c>
      <c r="E584" s="1" t="s">
        <v>6</v>
      </c>
      <c r="F584" s="7">
        <v>0.186</v>
      </c>
      <c r="G584" s="7">
        <v>0</v>
      </c>
      <c r="H584" s="7">
        <v>0.186</v>
      </c>
    </row>
    <row r="585" spans="1:8" ht="28.8" x14ac:dyDescent="0.3">
      <c r="A585" s="5">
        <v>445299</v>
      </c>
      <c r="B585" s="5">
        <v>445000</v>
      </c>
      <c r="C585" s="6" t="s">
        <v>626</v>
      </c>
      <c r="D585" s="4" t="s">
        <v>5</v>
      </c>
      <c r="E585" s="1" t="s">
        <v>6</v>
      </c>
      <c r="F585" s="7">
        <v>0.186</v>
      </c>
      <c r="G585" s="7">
        <v>0</v>
      </c>
      <c r="H585" s="7">
        <v>0.186</v>
      </c>
    </row>
    <row r="586" spans="1:8" ht="28.8" x14ac:dyDescent="0.3">
      <c r="A586" s="5">
        <v>445310</v>
      </c>
      <c r="B586" s="5">
        <v>445000</v>
      </c>
      <c r="C586" s="6" t="s">
        <v>627</v>
      </c>
      <c r="D586" s="4" t="s">
        <v>5</v>
      </c>
      <c r="E586" s="1" t="s">
        <v>6</v>
      </c>
      <c r="F586" s="7">
        <v>0.186</v>
      </c>
      <c r="G586" s="7">
        <v>0</v>
      </c>
      <c r="H586" s="7">
        <v>0.186</v>
      </c>
    </row>
    <row r="587" spans="1:8" ht="28.8" x14ac:dyDescent="0.3">
      <c r="A587" s="5">
        <v>446110</v>
      </c>
      <c r="B587" s="5">
        <v>446000</v>
      </c>
      <c r="C587" s="6" t="s">
        <v>628</v>
      </c>
      <c r="D587" s="4" t="s">
        <v>5</v>
      </c>
      <c r="E587" s="1" t="s">
        <v>6</v>
      </c>
      <c r="F587" s="7">
        <v>0.13</v>
      </c>
      <c r="G587" s="7">
        <v>0</v>
      </c>
      <c r="H587" s="7">
        <v>0.13</v>
      </c>
    </row>
    <row r="588" spans="1:8" ht="28.8" x14ac:dyDescent="0.3">
      <c r="A588" s="5">
        <v>446120</v>
      </c>
      <c r="B588" s="5">
        <v>446000</v>
      </c>
      <c r="C588" s="6" t="s">
        <v>629</v>
      </c>
      <c r="D588" s="4" t="s">
        <v>5</v>
      </c>
      <c r="E588" s="1" t="s">
        <v>6</v>
      </c>
      <c r="F588" s="7">
        <v>0.13</v>
      </c>
      <c r="G588" s="7">
        <v>0</v>
      </c>
      <c r="H588" s="7">
        <v>0.13</v>
      </c>
    </row>
    <row r="589" spans="1:8" ht="28.8" x14ac:dyDescent="0.3">
      <c r="A589" s="5">
        <v>446130</v>
      </c>
      <c r="B589" s="5">
        <v>446000</v>
      </c>
      <c r="C589" s="6" t="s">
        <v>630</v>
      </c>
      <c r="D589" s="4" t="s">
        <v>5</v>
      </c>
      <c r="E589" s="1" t="s">
        <v>6</v>
      </c>
      <c r="F589" s="7">
        <v>0.13</v>
      </c>
      <c r="G589" s="7">
        <v>0</v>
      </c>
      <c r="H589" s="7">
        <v>0.13</v>
      </c>
    </row>
    <row r="590" spans="1:8" ht="28.8" x14ac:dyDescent="0.3">
      <c r="A590" s="5">
        <v>446191</v>
      </c>
      <c r="B590" s="5">
        <v>446000</v>
      </c>
      <c r="C590" s="6" t="s">
        <v>631</v>
      </c>
      <c r="D590" s="4" t="s">
        <v>5</v>
      </c>
      <c r="E590" s="1" t="s">
        <v>6</v>
      </c>
      <c r="F590" s="7">
        <v>0.13</v>
      </c>
      <c r="G590" s="7">
        <v>0</v>
      </c>
      <c r="H590" s="7">
        <v>0.13</v>
      </c>
    </row>
    <row r="591" spans="1:8" ht="28.8" x14ac:dyDescent="0.3">
      <c r="A591" s="5">
        <v>446199</v>
      </c>
      <c r="B591" s="5">
        <v>446000</v>
      </c>
      <c r="C591" s="6" t="s">
        <v>632</v>
      </c>
      <c r="D591" s="4" t="s">
        <v>5</v>
      </c>
      <c r="E591" s="1" t="s">
        <v>6</v>
      </c>
      <c r="F591" s="7">
        <v>0.13</v>
      </c>
      <c r="G591" s="7">
        <v>0</v>
      </c>
      <c r="H591" s="7">
        <v>0.13</v>
      </c>
    </row>
    <row r="592" spans="1:8" ht="28.8" x14ac:dyDescent="0.3">
      <c r="A592" s="5">
        <v>447110</v>
      </c>
      <c r="B592" s="5">
        <v>447000</v>
      </c>
      <c r="C592" s="6" t="s">
        <v>633</v>
      </c>
      <c r="D592" s="4" t="s">
        <v>5</v>
      </c>
      <c r="E592" s="1" t="s">
        <v>6</v>
      </c>
      <c r="F592" s="7">
        <v>0.183</v>
      </c>
      <c r="G592" s="7">
        <v>0</v>
      </c>
      <c r="H592" s="7">
        <v>0.183</v>
      </c>
    </row>
    <row r="593" spans="1:8" ht="28.8" x14ac:dyDescent="0.3">
      <c r="A593" s="5">
        <v>447190</v>
      </c>
      <c r="B593" s="5">
        <v>447000</v>
      </c>
      <c r="C593" s="6" t="s">
        <v>634</v>
      </c>
      <c r="D593" s="4" t="s">
        <v>5</v>
      </c>
      <c r="E593" s="1" t="s">
        <v>6</v>
      </c>
      <c r="F593" s="7">
        <v>0.183</v>
      </c>
      <c r="G593" s="7">
        <v>0</v>
      </c>
      <c r="H593" s="7">
        <v>0.183</v>
      </c>
    </row>
    <row r="594" spans="1:8" ht="28.8" x14ac:dyDescent="0.3">
      <c r="A594" s="5">
        <v>448110</v>
      </c>
      <c r="B594" s="5">
        <v>448000</v>
      </c>
      <c r="C594" s="6" t="s">
        <v>635</v>
      </c>
      <c r="D594" s="4" t="s">
        <v>5</v>
      </c>
      <c r="E594" s="1" t="s">
        <v>6</v>
      </c>
      <c r="F594" s="7">
        <v>0.13800000000000001</v>
      </c>
      <c r="G594" s="7">
        <v>0</v>
      </c>
      <c r="H594" s="7">
        <v>0.13800000000000001</v>
      </c>
    </row>
    <row r="595" spans="1:8" ht="28.8" x14ac:dyDescent="0.3">
      <c r="A595" s="5">
        <v>448120</v>
      </c>
      <c r="B595" s="5">
        <v>448000</v>
      </c>
      <c r="C595" s="6" t="s">
        <v>636</v>
      </c>
      <c r="D595" s="4" t="s">
        <v>5</v>
      </c>
      <c r="E595" s="1" t="s">
        <v>6</v>
      </c>
      <c r="F595" s="7">
        <v>0.13800000000000001</v>
      </c>
      <c r="G595" s="7">
        <v>0</v>
      </c>
      <c r="H595" s="7">
        <v>0.13800000000000001</v>
      </c>
    </row>
    <row r="596" spans="1:8" ht="28.8" x14ac:dyDescent="0.3">
      <c r="A596" s="5">
        <v>448130</v>
      </c>
      <c r="B596" s="5">
        <v>448000</v>
      </c>
      <c r="C596" s="6" t="s">
        <v>637</v>
      </c>
      <c r="D596" s="4" t="s">
        <v>5</v>
      </c>
      <c r="E596" s="1" t="s">
        <v>6</v>
      </c>
      <c r="F596" s="7">
        <v>0.13800000000000001</v>
      </c>
      <c r="G596" s="7">
        <v>0</v>
      </c>
      <c r="H596" s="7">
        <v>0.13800000000000001</v>
      </c>
    </row>
    <row r="597" spans="1:8" ht="28.8" x14ac:dyDescent="0.3">
      <c r="A597" s="5">
        <v>448140</v>
      </c>
      <c r="B597" s="5">
        <v>448000</v>
      </c>
      <c r="C597" s="6" t="s">
        <v>638</v>
      </c>
      <c r="D597" s="4" t="s">
        <v>5</v>
      </c>
      <c r="E597" s="1" t="s">
        <v>6</v>
      </c>
      <c r="F597" s="7">
        <v>0.13800000000000001</v>
      </c>
      <c r="G597" s="7">
        <v>0</v>
      </c>
      <c r="H597" s="7">
        <v>0.13800000000000001</v>
      </c>
    </row>
    <row r="598" spans="1:8" ht="28.8" x14ac:dyDescent="0.3">
      <c r="A598" s="5">
        <v>448150</v>
      </c>
      <c r="B598" s="5">
        <v>448000</v>
      </c>
      <c r="C598" s="6" t="s">
        <v>639</v>
      </c>
      <c r="D598" s="4" t="s">
        <v>5</v>
      </c>
      <c r="E598" s="1" t="s">
        <v>6</v>
      </c>
      <c r="F598" s="7">
        <v>0.13800000000000001</v>
      </c>
      <c r="G598" s="7">
        <v>0</v>
      </c>
      <c r="H598" s="7">
        <v>0.13800000000000001</v>
      </c>
    </row>
    <row r="599" spans="1:8" ht="28.8" x14ac:dyDescent="0.3">
      <c r="A599" s="5">
        <v>448190</v>
      </c>
      <c r="B599" s="5">
        <v>448000</v>
      </c>
      <c r="C599" s="6" t="s">
        <v>640</v>
      </c>
      <c r="D599" s="4" t="s">
        <v>5</v>
      </c>
      <c r="E599" s="1" t="s">
        <v>6</v>
      </c>
      <c r="F599" s="7">
        <v>0.13800000000000001</v>
      </c>
      <c r="G599" s="7">
        <v>0</v>
      </c>
      <c r="H599" s="7">
        <v>0.13800000000000001</v>
      </c>
    </row>
    <row r="600" spans="1:8" ht="28.8" x14ac:dyDescent="0.3">
      <c r="A600" s="5">
        <v>448210</v>
      </c>
      <c r="B600" s="5">
        <v>448000</v>
      </c>
      <c r="C600" s="6" t="s">
        <v>641</v>
      </c>
      <c r="D600" s="4" t="s">
        <v>5</v>
      </c>
      <c r="E600" s="1" t="s">
        <v>6</v>
      </c>
      <c r="F600" s="7">
        <v>0.13800000000000001</v>
      </c>
      <c r="G600" s="7">
        <v>0</v>
      </c>
      <c r="H600" s="7">
        <v>0.13800000000000001</v>
      </c>
    </row>
    <row r="601" spans="1:8" ht="28.8" x14ac:dyDescent="0.3">
      <c r="A601" s="5">
        <v>448310</v>
      </c>
      <c r="B601" s="5">
        <v>448000</v>
      </c>
      <c r="C601" s="6" t="s">
        <v>642</v>
      </c>
      <c r="D601" s="4" t="s">
        <v>5</v>
      </c>
      <c r="E601" s="1" t="s">
        <v>6</v>
      </c>
      <c r="F601" s="7">
        <v>0.13800000000000001</v>
      </c>
      <c r="G601" s="7">
        <v>0</v>
      </c>
      <c r="H601" s="7">
        <v>0.13800000000000001</v>
      </c>
    </row>
    <row r="602" spans="1:8" ht="28.8" x14ac:dyDescent="0.3">
      <c r="A602" s="5">
        <v>448320</v>
      </c>
      <c r="B602" s="5">
        <v>448000</v>
      </c>
      <c r="C602" s="6" t="s">
        <v>643</v>
      </c>
      <c r="D602" s="4" t="s">
        <v>5</v>
      </c>
      <c r="E602" s="1" t="s">
        <v>6</v>
      </c>
      <c r="F602" s="7">
        <v>0.13800000000000001</v>
      </c>
      <c r="G602" s="7">
        <v>0</v>
      </c>
      <c r="H602" s="7">
        <v>0.13800000000000001</v>
      </c>
    </row>
    <row r="603" spans="1:8" ht="28.8" x14ac:dyDescent="0.3">
      <c r="A603" s="5">
        <v>451110</v>
      </c>
      <c r="B603" s="5" t="s">
        <v>607</v>
      </c>
      <c r="C603" s="6" t="s">
        <v>644</v>
      </c>
      <c r="D603" s="4" t="s">
        <v>5</v>
      </c>
      <c r="E603" s="1" t="s">
        <v>6</v>
      </c>
      <c r="F603" s="7">
        <v>0.111</v>
      </c>
      <c r="G603" s="7">
        <v>0</v>
      </c>
      <c r="H603" s="7">
        <v>0.111</v>
      </c>
    </row>
    <row r="604" spans="1:8" ht="28.8" x14ac:dyDescent="0.3">
      <c r="A604" s="5">
        <v>451120</v>
      </c>
      <c r="B604" s="5" t="s">
        <v>607</v>
      </c>
      <c r="C604" s="6" t="s">
        <v>645</v>
      </c>
      <c r="D604" s="4" t="s">
        <v>5</v>
      </c>
      <c r="E604" s="1" t="s">
        <v>6</v>
      </c>
      <c r="F604" s="7">
        <v>0.111</v>
      </c>
      <c r="G604" s="7">
        <v>0</v>
      </c>
      <c r="H604" s="7">
        <v>0.111</v>
      </c>
    </row>
    <row r="605" spans="1:8" ht="28.8" x14ac:dyDescent="0.3">
      <c r="A605" s="5">
        <v>451130</v>
      </c>
      <c r="B605" s="5" t="s">
        <v>607</v>
      </c>
      <c r="C605" s="6" t="s">
        <v>646</v>
      </c>
      <c r="D605" s="4" t="s">
        <v>5</v>
      </c>
      <c r="E605" s="1" t="s">
        <v>6</v>
      </c>
      <c r="F605" s="7">
        <v>0.111</v>
      </c>
      <c r="G605" s="7">
        <v>0</v>
      </c>
      <c r="H605" s="7">
        <v>0.111</v>
      </c>
    </row>
    <row r="606" spans="1:8" ht="28.8" x14ac:dyDescent="0.3">
      <c r="A606" s="5">
        <v>451140</v>
      </c>
      <c r="B606" s="5" t="s">
        <v>607</v>
      </c>
      <c r="C606" s="6" t="s">
        <v>647</v>
      </c>
      <c r="D606" s="4" t="s">
        <v>5</v>
      </c>
      <c r="E606" s="1" t="s">
        <v>6</v>
      </c>
      <c r="F606" s="7">
        <v>0.111</v>
      </c>
      <c r="G606" s="7">
        <v>0</v>
      </c>
      <c r="H606" s="7">
        <v>0.111</v>
      </c>
    </row>
    <row r="607" spans="1:8" ht="28.8" x14ac:dyDescent="0.3">
      <c r="A607" s="5">
        <v>451211</v>
      </c>
      <c r="B607" s="5" t="s">
        <v>607</v>
      </c>
      <c r="C607" s="6" t="s">
        <v>648</v>
      </c>
      <c r="D607" s="4" t="s">
        <v>5</v>
      </c>
      <c r="E607" s="1" t="s">
        <v>6</v>
      </c>
      <c r="F607" s="7">
        <v>0.111</v>
      </c>
      <c r="G607" s="7">
        <v>0</v>
      </c>
      <c r="H607" s="7">
        <v>0.111</v>
      </c>
    </row>
    <row r="608" spans="1:8" ht="28.8" x14ac:dyDescent="0.3">
      <c r="A608" s="5">
        <v>451212</v>
      </c>
      <c r="B608" s="5" t="s">
        <v>607</v>
      </c>
      <c r="C608" s="6" t="s">
        <v>649</v>
      </c>
      <c r="D608" s="4" t="s">
        <v>5</v>
      </c>
      <c r="E608" s="1" t="s">
        <v>6</v>
      </c>
      <c r="F608" s="7">
        <v>0.111</v>
      </c>
      <c r="G608" s="7">
        <v>0</v>
      </c>
      <c r="H608" s="7">
        <v>0.111</v>
      </c>
    </row>
    <row r="609" spans="1:8" ht="28.8" x14ac:dyDescent="0.3">
      <c r="A609" s="5">
        <v>452210</v>
      </c>
      <c r="B609" s="5">
        <v>452000</v>
      </c>
      <c r="C609" s="6" t="s">
        <v>650</v>
      </c>
      <c r="D609" s="4" t="s">
        <v>5</v>
      </c>
      <c r="E609" s="1" t="s">
        <v>6</v>
      </c>
      <c r="F609" s="7">
        <v>0.16400000000000001</v>
      </c>
      <c r="G609" s="7">
        <v>0</v>
      </c>
      <c r="H609" s="7">
        <v>0.16400000000000001</v>
      </c>
    </row>
    <row r="610" spans="1:8" ht="28.8" x14ac:dyDescent="0.3">
      <c r="A610" s="5">
        <v>452311</v>
      </c>
      <c r="B610" s="5">
        <v>452000</v>
      </c>
      <c r="C610" s="6" t="s">
        <v>651</v>
      </c>
      <c r="D610" s="4" t="s">
        <v>5</v>
      </c>
      <c r="E610" s="1" t="s">
        <v>6</v>
      </c>
      <c r="F610" s="7">
        <v>0.16400000000000001</v>
      </c>
      <c r="G610" s="7">
        <v>0</v>
      </c>
      <c r="H610" s="7">
        <v>0.16400000000000001</v>
      </c>
    </row>
    <row r="611" spans="1:8" ht="28.8" x14ac:dyDescent="0.3">
      <c r="A611" s="5">
        <v>452319</v>
      </c>
      <c r="B611" s="5">
        <v>452000</v>
      </c>
      <c r="C611" s="6" t="s">
        <v>652</v>
      </c>
      <c r="D611" s="4" t="s">
        <v>5</v>
      </c>
      <c r="E611" s="1" t="s">
        <v>6</v>
      </c>
      <c r="F611" s="7">
        <v>0.16400000000000001</v>
      </c>
      <c r="G611" s="7">
        <v>0</v>
      </c>
      <c r="H611" s="7">
        <v>0.16400000000000001</v>
      </c>
    </row>
    <row r="612" spans="1:8" ht="28.8" x14ac:dyDescent="0.3">
      <c r="A612" s="5">
        <v>453110</v>
      </c>
      <c r="B612" s="5" t="s">
        <v>607</v>
      </c>
      <c r="C612" s="6" t="s">
        <v>653</v>
      </c>
      <c r="D612" s="4" t="s">
        <v>5</v>
      </c>
      <c r="E612" s="1" t="s">
        <v>6</v>
      </c>
      <c r="F612" s="7">
        <v>0.111</v>
      </c>
      <c r="G612" s="7">
        <v>0</v>
      </c>
      <c r="H612" s="7">
        <v>0.111</v>
      </c>
    </row>
    <row r="613" spans="1:8" ht="28.8" x14ac:dyDescent="0.3">
      <c r="A613" s="5">
        <v>453210</v>
      </c>
      <c r="B613" s="5" t="s">
        <v>607</v>
      </c>
      <c r="C613" s="6" t="s">
        <v>654</v>
      </c>
      <c r="D613" s="4" t="s">
        <v>5</v>
      </c>
      <c r="E613" s="1" t="s">
        <v>6</v>
      </c>
      <c r="F613" s="7">
        <v>0.111</v>
      </c>
      <c r="G613" s="7">
        <v>0</v>
      </c>
      <c r="H613" s="7">
        <v>0.111</v>
      </c>
    </row>
    <row r="614" spans="1:8" ht="28.8" x14ac:dyDescent="0.3">
      <c r="A614" s="5">
        <v>453220</v>
      </c>
      <c r="B614" s="5" t="s">
        <v>607</v>
      </c>
      <c r="C614" s="6" t="s">
        <v>655</v>
      </c>
      <c r="D614" s="4" t="s">
        <v>5</v>
      </c>
      <c r="E614" s="1" t="s">
        <v>6</v>
      </c>
      <c r="F614" s="7">
        <v>0.111</v>
      </c>
      <c r="G614" s="7">
        <v>0</v>
      </c>
      <c r="H614" s="7">
        <v>0.111</v>
      </c>
    </row>
    <row r="615" spans="1:8" ht="28.8" x14ac:dyDescent="0.3">
      <c r="A615" s="5">
        <v>453310</v>
      </c>
      <c r="B615" s="5" t="s">
        <v>607</v>
      </c>
      <c r="C615" s="6" t="s">
        <v>656</v>
      </c>
      <c r="D615" s="4" t="s">
        <v>5</v>
      </c>
      <c r="E615" s="1" t="s">
        <v>6</v>
      </c>
      <c r="F615" s="7">
        <v>0.111</v>
      </c>
      <c r="G615" s="7">
        <v>0</v>
      </c>
      <c r="H615" s="7">
        <v>0.111</v>
      </c>
    </row>
    <row r="616" spans="1:8" ht="28.8" x14ac:dyDescent="0.3">
      <c r="A616" s="5">
        <v>453910</v>
      </c>
      <c r="B616" s="5" t="s">
        <v>607</v>
      </c>
      <c r="C616" s="6" t="s">
        <v>657</v>
      </c>
      <c r="D616" s="4" t="s">
        <v>5</v>
      </c>
      <c r="E616" s="1" t="s">
        <v>6</v>
      </c>
      <c r="F616" s="7">
        <v>0.111</v>
      </c>
      <c r="G616" s="7">
        <v>0</v>
      </c>
      <c r="H616" s="7">
        <v>0.111</v>
      </c>
    </row>
    <row r="617" spans="1:8" ht="28.8" x14ac:dyDescent="0.3">
      <c r="A617" s="5">
        <v>453920</v>
      </c>
      <c r="B617" s="5" t="s">
        <v>607</v>
      </c>
      <c r="C617" s="6" t="s">
        <v>658</v>
      </c>
      <c r="D617" s="4" t="s">
        <v>5</v>
      </c>
      <c r="E617" s="1" t="s">
        <v>6</v>
      </c>
      <c r="F617" s="7">
        <v>0.111</v>
      </c>
      <c r="G617" s="7">
        <v>0</v>
      </c>
      <c r="H617" s="7">
        <v>0.111</v>
      </c>
    </row>
    <row r="618" spans="1:8" ht="28.8" x14ac:dyDescent="0.3">
      <c r="A618" s="5">
        <v>453930</v>
      </c>
      <c r="B618" s="5" t="s">
        <v>607</v>
      </c>
      <c r="C618" s="6" t="s">
        <v>659</v>
      </c>
      <c r="D618" s="4" t="s">
        <v>5</v>
      </c>
      <c r="E618" s="1" t="s">
        <v>6</v>
      </c>
      <c r="F618" s="7">
        <v>0.111</v>
      </c>
      <c r="G618" s="7">
        <v>0</v>
      </c>
      <c r="H618" s="7">
        <v>0.111</v>
      </c>
    </row>
    <row r="619" spans="1:8" ht="28.8" x14ac:dyDescent="0.3">
      <c r="A619" s="5">
        <v>453991</v>
      </c>
      <c r="B619" s="5" t="s">
        <v>607</v>
      </c>
      <c r="C619" s="6" t="s">
        <v>660</v>
      </c>
      <c r="D619" s="4" t="s">
        <v>5</v>
      </c>
      <c r="E619" s="1" t="s">
        <v>6</v>
      </c>
      <c r="F619" s="7">
        <v>0.111</v>
      </c>
      <c r="G619" s="7">
        <v>0</v>
      </c>
      <c r="H619" s="7">
        <v>0.111</v>
      </c>
    </row>
    <row r="620" spans="1:8" ht="28.8" x14ac:dyDescent="0.3">
      <c r="A620" s="5">
        <v>453998</v>
      </c>
      <c r="B620" s="5" t="s">
        <v>607</v>
      </c>
      <c r="C620" s="6" t="s">
        <v>661</v>
      </c>
      <c r="D620" s="4" t="s">
        <v>5</v>
      </c>
      <c r="E620" s="1" t="s">
        <v>6</v>
      </c>
      <c r="F620" s="7">
        <v>0.111</v>
      </c>
      <c r="G620" s="7">
        <v>0</v>
      </c>
      <c r="H620" s="7">
        <v>0.111</v>
      </c>
    </row>
    <row r="621" spans="1:8" ht="28.8" x14ac:dyDescent="0.3">
      <c r="A621" s="5">
        <v>454110</v>
      </c>
      <c r="B621" s="5">
        <v>454000</v>
      </c>
      <c r="C621" s="6" t="s">
        <v>662</v>
      </c>
      <c r="D621" s="4" t="s">
        <v>5</v>
      </c>
      <c r="E621" s="1" t="s">
        <v>6</v>
      </c>
      <c r="F621" s="7">
        <v>9.4E-2</v>
      </c>
      <c r="G621" s="7">
        <v>0</v>
      </c>
      <c r="H621" s="7">
        <v>9.4E-2</v>
      </c>
    </row>
    <row r="622" spans="1:8" ht="28.8" x14ac:dyDescent="0.3">
      <c r="A622" s="5">
        <v>454210</v>
      </c>
      <c r="B622" s="5">
        <v>454000</v>
      </c>
      <c r="C622" s="6" t="s">
        <v>663</v>
      </c>
      <c r="D622" s="4" t="s">
        <v>5</v>
      </c>
      <c r="E622" s="1" t="s">
        <v>6</v>
      </c>
      <c r="F622" s="7">
        <v>9.4E-2</v>
      </c>
      <c r="G622" s="7">
        <v>0</v>
      </c>
      <c r="H622" s="7">
        <v>9.4E-2</v>
      </c>
    </row>
    <row r="623" spans="1:8" ht="28.8" x14ac:dyDescent="0.3">
      <c r="A623" s="5">
        <v>454310</v>
      </c>
      <c r="B623" s="5">
        <v>454000</v>
      </c>
      <c r="C623" s="6" t="s">
        <v>664</v>
      </c>
      <c r="D623" s="4" t="s">
        <v>5</v>
      </c>
      <c r="E623" s="1" t="s">
        <v>6</v>
      </c>
      <c r="F623" s="7">
        <v>9.4E-2</v>
      </c>
      <c r="G623" s="7">
        <v>0</v>
      </c>
      <c r="H623" s="7">
        <v>9.4E-2</v>
      </c>
    </row>
    <row r="624" spans="1:8" ht="28.8" x14ac:dyDescent="0.3">
      <c r="A624" s="5">
        <v>454390</v>
      </c>
      <c r="B624" s="5">
        <v>454000</v>
      </c>
      <c r="C624" s="6" t="s">
        <v>665</v>
      </c>
      <c r="D624" s="4" t="s">
        <v>5</v>
      </c>
      <c r="E624" s="1" t="s">
        <v>6</v>
      </c>
      <c r="F624" s="7">
        <v>9.4E-2</v>
      </c>
      <c r="G624" s="7">
        <v>0</v>
      </c>
      <c r="H624" s="7">
        <v>9.4E-2</v>
      </c>
    </row>
    <row r="625" spans="1:8" ht="28.8" x14ac:dyDescent="0.3">
      <c r="A625" s="5">
        <v>481111</v>
      </c>
      <c r="B625" s="5">
        <v>481000</v>
      </c>
      <c r="C625" s="6" t="s">
        <v>666</v>
      </c>
      <c r="D625" s="4" t="s">
        <v>5</v>
      </c>
      <c r="E625" s="1" t="s">
        <v>6</v>
      </c>
      <c r="F625" s="7">
        <v>0.64400000000000002</v>
      </c>
      <c r="G625" s="7">
        <v>0</v>
      </c>
      <c r="H625" s="7">
        <v>0.64400000000000002</v>
      </c>
    </row>
    <row r="626" spans="1:8" ht="28.8" x14ac:dyDescent="0.3">
      <c r="A626" s="5">
        <v>481112</v>
      </c>
      <c r="B626" s="5">
        <v>481000</v>
      </c>
      <c r="C626" s="6" t="s">
        <v>667</v>
      </c>
      <c r="D626" s="4" t="s">
        <v>5</v>
      </c>
      <c r="E626" s="1" t="s">
        <v>6</v>
      </c>
      <c r="F626" s="7">
        <v>0.64400000000000002</v>
      </c>
      <c r="G626" s="7">
        <v>0</v>
      </c>
      <c r="H626" s="7">
        <v>0.64400000000000002</v>
      </c>
    </row>
    <row r="627" spans="1:8" ht="28.8" x14ac:dyDescent="0.3">
      <c r="A627" s="5">
        <v>481211</v>
      </c>
      <c r="B627" s="5">
        <v>481000</v>
      </c>
      <c r="C627" s="6" t="s">
        <v>668</v>
      </c>
      <c r="D627" s="4" t="s">
        <v>5</v>
      </c>
      <c r="E627" s="1" t="s">
        <v>6</v>
      </c>
      <c r="F627" s="7">
        <v>0.64400000000000002</v>
      </c>
      <c r="G627" s="7">
        <v>0</v>
      </c>
      <c r="H627" s="7">
        <v>0.64400000000000002</v>
      </c>
    </row>
    <row r="628" spans="1:8" ht="28.8" x14ac:dyDescent="0.3">
      <c r="A628" s="5">
        <v>481212</v>
      </c>
      <c r="B628" s="5">
        <v>481000</v>
      </c>
      <c r="C628" s="6" t="s">
        <v>669</v>
      </c>
      <c r="D628" s="4" t="s">
        <v>5</v>
      </c>
      <c r="E628" s="1" t="s">
        <v>6</v>
      </c>
      <c r="F628" s="7">
        <v>0.64400000000000002</v>
      </c>
      <c r="G628" s="7">
        <v>0</v>
      </c>
      <c r="H628" s="7">
        <v>0.64400000000000002</v>
      </c>
    </row>
    <row r="629" spans="1:8" ht="28.8" x14ac:dyDescent="0.3">
      <c r="A629" s="5">
        <v>481219</v>
      </c>
      <c r="B629" s="5">
        <v>481000</v>
      </c>
      <c r="C629" s="6" t="s">
        <v>670</v>
      </c>
      <c r="D629" s="4" t="s">
        <v>5</v>
      </c>
      <c r="E629" s="1" t="s">
        <v>6</v>
      </c>
      <c r="F629" s="7">
        <v>0.64400000000000002</v>
      </c>
      <c r="G629" s="7">
        <v>0</v>
      </c>
      <c r="H629" s="7">
        <v>0.64400000000000002</v>
      </c>
    </row>
    <row r="630" spans="1:8" ht="28.8" x14ac:dyDescent="0.3">
      <c r="A630" s="5">
        <v>482111</v>
      </c>
      <c r="B630" s="5">
        <v>482000</v>
      </c>
      <c r="C630" s="6" t="s">
        <v>671</v>
      </c>
      <c r="D630" s="4" t="s">
        <v>5</v>
      </c>
      <c r="E630" s="1" t="s">
        <v>6</v>
      </c>
      <c r="F630" s="7">
        <v>0.46600000000000003</v>
      </c>
      <c r="G630" s="7">
        <v>0</v>
      </c>
      <c r="H630" s="7">
        <v>0.46600000000000003</v>
      </c>
    </row>
    <row r="631" spans="1:8" ht="28.8" x14ac:dyDescent="0.3">
      <c r="A631" s="5">
        <v>482112</v>
      </c>
      <c r="B631" s="5">
        <v>482000</v>
      </c>
      <c r="C631" s="6" t="s">
        <v>672</v>
      </c>
      <c r="D631" s="4" t="s">
        <v>5</v>
      </c>
      <c r="E631" s="1" t="s">
        <v>6</v>
      </c>
      <c r="F631" s="7">
        <v>0.46600000000000003</v>
      </c>
      <c r="G631" s="7">
        <v>0</v>
      </c>
      <c r="H631" s="7">
        <v>0.46600000000000003</v>
      </c>
    </row>
    <row r="632" spans="1:8" ht="28.8" x14ac:dyDescent="0.3">
      <c r="A632" s="5">
        <v>483111</v>
      </c>
      <c r="B632" s="5">
        <v>483000</v>
      </c>
      <c r="C632" s="6" t="s">
        <v>673</v>
      </c>
      <c r="D632" s="4" t="s">
        <v>5</v>
      </c>
      <c r="E632" s="1" t="s">
        <v>6</v>
      </c>
      <c r="F632" s="7">
        <v>0.81599999999999995</v>
      </c>
      <c r="G632" s="7">
        <v>0</v>
      </c>
      <c r="H632" s="7">
        <v>0.81599999999999995</v>
      </c>
    </row>
    <row r="633" spans="1:8" ht="28.8" x14ac:dyDescent="0.3">
      <c r="A633" s="5">
        <v>483112</v>
      </c>
      <c r="B633" s="5">
        <v>483000</v>
      </c>
      <c r="C633" s="6" t="s">
        <v>674</v>
      </c>
      <c r="D633" s="4" t="s">
        <v>5</v>
      </c>
      <c r="E633" s="1" t="s">
        <v>6</v>
      </c>
      <c r="F633" s="7">
        <v>0.81599999999999995</v>
      </c>
      <c r="G633" s="7">
        <v>0</v>
      </c>
      <c r="H633" s="7">
        <v>0.81599999999999995</v>
      </c>
    </row>
    <row r="634" spans="1:8" ht="28.8" x14ac:dyDescent="0.3">
      <c r="A634" s="5">
        <v>483113</v>
      </c>
      <c r="B634" s="5">
        <v>483000</v>
      </c>
      <c r="C634" s="6" t="s">
        <v>675</v>
      </c>
      <c r="D634" s="4" t="s">
        <v>5</v>
      </c>
      <c r="E634" s="1" t="s">
        <v>6</v>
      </c>
      <c r="F634" s="7">
        <v>0.81599999999999995</v>
      </c>
      <c r="G634" s="7">
        <v>0</v>
      </c>
      <c r="H634" s="7">
        <v>0.81599999999999995</v>
      </c>
    </row>
    <row r="635" spans="1:8" ht="28.8" x14ac:dyDescent="0.3">
      <c r="A635" s="5">
        <v>483114</v>
      </c>
      <c r="B635" s="5">
        <v>483000</v>
      </c>
      <c r="C635" s="6" t="s">
        <v>676</v>
      </c>
      <c r="D635" s="4" t="s">
        <v>5</v>
      </c>
      <c r="E635" s="1" t="s">
        <v>6</v>
      </c>
      <c r="F635" s="7">
        <v>0.81599999999999995</v>
      </c>
      <c r="G635" s="7">
        <v>0</v>
      </c>
      <c r="H635" s="7">
        <v>0.81599999999999995</v>
      </c>
    </row>
    <row r="636" spans="1:8" ht="28.8" x14ac:dyDescent="0.3">
      <c r="A636" s="5">
        <v>483211</v>
      </c>
      <c r="B636" s="5">
        <v>483000</v>
      </c>
      <c r="C636" s="6" t="s">
        <v>677</v>
      </c>
      <c r="D636" s="4" t="s">
        <v>5</v>
      </c>
      <c r="E636" s="1" t="s">
        <v>6</v>
      </c>
      <c r="F636" s="7">
        <v>0.81599999999999995</v>
      </c>
      <c r="G636" s="7">
        <v>0</v>
      </c>
      <c r="H636" s="7">
        <v>0.81599999999999995</v>
      </c>
    </row>
    <row r="637" spans="1:8" ht="28.8" x14ac:dyDescent="0.3">
      <c r="A637" s="5">
        <v>483212</v>
      </c>
      <c r="B637" s="5">
        <v>483000</v>
      </c>
      <c r="C637" s="6" t="s">
        <v>678</v>
      </c>
      <c r="D637" s="4" t="s">
        <v>5</v>
      </c>
      <c r="E637" s="1" t="s">
        <v>6</v>
      </c>
      <c r="F637" s="7">
        <v>0.81599999999999995</v>
      </c>
      <c r="G637" s="7">
        <v>0</v>
      </c>
      <c r="H637" s="7">
        <v>0.81599999999999995</v>
      </c>
    </row>
    <row r="638" spans="1:8" ht="28.8" x14ac:dyDescent="0.3">
      <c r="A638" s="5">
        <v>484110</v>
      </c>
      <c r="B638" s="5">
        <v>484000</v>
      </c>
      <c r="C638" s="6" t="s">
        <v>679</v>
      </c>
      <c r="D638" s="4" t="s">
        <v>5</v>
      </c>
      <c r="E638" s="1" t="s">
        <v>6</v>
      </c>
      <c r="F638" s="7">
        <v>0.59499999999999997</v>
      </c>
      <c r="G638" s="7">
        <v>0</v>
      </c>
      <c r="H638" s="7">
        <v>0.59499999999999997</v>
      </c>
    </row>
    <row r="639" spans="1:8" ht="28.8" x14ac:dyDescent="0.3">
      <c r="A639" s="5">
        <v>484121</v>
      </c>
      <c r="B639" s="5">
        <v>484000</v>
      </c>
      <c r="C639" s="6" t="s">
        <v>680</v>
      </c>
      <c r="D639" s="4" t="s">
        <v>5</v>
      </c>
      <c r="E639" s="1" t="s">
        <v>6</v>
      </c>
      <c r="F639" s="7">
        <v>0.59499999999999997</v>
      </c>
      <c r="G639" s="7">
        <v>0</v>
      </c>
      <c r="H639" s="7">
        <v>0.59499999999999997</v>
      </c>
    </row>
    <row r="640" spans="1:8" ht="28.8" x14ac:dyDescent="0.3">
      <c r="A640" s="5">
        <v>484122</v>
      </c>
      <c r="B640" s="5">
        <v>484000</v>
      </c>
      <c r="C640" s="6" t="s">
        <v>681</v>
      </c>
      <c r="D640" s="4" t="s">
        <v>5</v>
      </c>
      <c r="E640" s="1" t="s">
        <v>6</v>
      </c>
      <c r="F640" s="7">
        <v>0.59499999999999997</v>
      </c>
      <c r="G640" s="7">
        <v>0</v>
      </c>
      <c r="H640" s="7">
        <v>0.59499999999999997</v>
      </c>
    </row>
    <row r="641" spans="1:8" ht="28.8" x14ac:dyDescent="0.3">
      <c r="A641" s="5">
        <v>484210</v>
      </c>
      <c r="B641" s="5">
        <v>484000</v>
      </c>
      <c r="C641" s="6" t="s">
        <v>682</v>
      </c>
      <c r="D641" s="4" t="s">
        <v>5</v>
      </c>
      <c r="E641" s="1" t="s">
        <v>6</v>
      </c>
      <c r="F641" s="7">
        <v>0.59499999999999997</v>
      </c>
      <c r="G641" s="7">
        <v>0</v>
      </c>
      <c r="H641" s="7">
        <v>0.59499999999999997</v>
      </c>
    </row>
    <row r="642" spans="1:8" ht="28.8" x14ac:dyDescent="0.3">
      <c r="A642" s="5">
        <v>484220</v>
      </c>
      <c r="B642" s="5">
        <v>484000</v>
      </c>
      <c r="C642" s="6" t="s">
        <v>683</v>
      </c>
      <c r="D642" s="4" t="s">
        <v>5</v>
      </c>
      <c r="E642" s="1" t="s">
        <v>6</v>
      </c>
      <c r="F642" s="7">
        <v>0.59499999999999997</v>
      </c>
      <c r="G642" s="7">
        <v>0</v>
      </c>
      <c r="H642" s="7">
        <v>0.59499999999999997</v>
      </c>
    </row>
    <row r="643" spans="1:8" ht="28.8" x14ac:dyDescent="0.3">
      <c r="A643" s="5">
        <v>484230</v>
      </c>
      <c r="B643" s="5">
        <v>484000</v>
      </c>
      <c r="C643" s="6" t="s">
        <v>684</v>
      </c>
      <c r="D643" s="4" t="s">
        <v>5</v>
      </c>
      <c r="E643" s="1" t="s">
        <v>6</v>
      </c>
      <c r="F643" s="7">
        <v>0.59499999999999997</v>
      </c>
      <c r="G643" s="7">
        <v>0</v>
      </c>
      <c r="H643" s="7">
        <v>0.59499999999999997</v>
      </c>
    </row>
    <row r="644" spans="1:8" ht="28.8" x14ac:dyDescent="0.3">
      <c r="A644" s="5">
        <v>485111</v>
      </c>
      <c r="B644" s="5">
        <v>485000</v>
      </c>
      <c r="C644" s="6" t="s">
        <v>685</v>
      </c>
      <c r="D644" s="4" t="s">
        <v>5</v>
      </c>
      <c r="E644" s="1" t="s">
        <v>6</v>
      </c>
      <c r="F644" s="7">
        <v>0.56599999999999995</v>
      </c>
      <c r="G644" s="7">
        <v>0</v>
      </c>
      <c r="H644" s="7">
        <v>0.56599999999999995</v>
      </c>
    </row>
    <row r="645" spans="1:8" ht="28.8" x14ac:dyDescent="0.3">
      <c r="A645" s="5">
        <v>485112</v>
      </c>
      <c r="B645" s="5">
        <v>485000</v>
      </c>
      <c r="C645" s="6" t="s">
        <v>686</v>
      </c>
      <c r="D645" s="4" t="s">
        <v>5</v>
      </c>
      <c r="E645" s="1" t="s">
        <v>6</v>
      </c>
      <c r="F645" s="7">
        <v>0.56599999999999995</v>
      </c>
      <c r="G645" s="7">
        <v>0</v>
      </c>
      <c r="H645" s="7">
        <v>0.56599999999999995</v>
      </c>
    </row>
    <row r="646" spans="1:8" ht="28.8" x14ac:dyDescent="0.3">
      <c r="A646" s="5">
        <v>485113</v>
      </c>
      <c r="B646" s="5">
        <v>485000</v>
      </c>
      <c r="C646" s="6" t="s">
        <v>687</v>
      </c>
      <c r="D646" s="4" t="s">
        <v>5</v>
      </c>
      <c r="E646" s="1" t="s">
        <v>6</v>
      </c>
      <c r="F646" s="7">
        <v>0.56599999999999995</v>
      </c>
      <c r="G646" s="7">
        <v>0</v>
      </c>
      <c r="H646" s="7">
        <v>0.56599999999999995</v>
      </c>
    </row>
    <row r="647" spans="1:8" ht="28.8" x14ac:dyDescent="0.3">
      <c r="A647" s="5">
        <v>485119</v>
      </c>
      <c r="B647" s="5">
        <v>485000</v>
      </c>
      <c r="C647" s="6" t="s">
        <v>688</v>
      </c>
      <c r="D647" s="4" t="s">
        <v>5</v>
      </c>
      <c r="E647" s="1" t="s">
        <v>6</v>
      </c>
      <c r="F647" s="7">
        <v>0.56599999999999995</v>
      </c>
      <c r="G647" s="7">
        <v>0</v>
      </c>
      <c r="H647" s="7">
        <v>0.56599999999999995</v>
      </c>
    </row>
    <row r="648" spans="1:8" ht="28.8" x14ac:dyDescent="0.3">
      <c r="A648" s="5">
        <v>485210</v>
      </c>
      <c r="B648" s="5">
        <v>485000</v>
      </c>
      <c r="C648" s="6" t="s">
        <v>689</v>
      </c>
      <c r="D648" s="4" t="s">
        <v>5</v>
      </c>
      <c r="E648" s="1" t="s">
        <v>6</v>
      </c>
      <c r="F648" s="7">
        <v>0.56599999999999995</v>
      </c>
      <c r="G648" s="7">
        <v>0</v>
      </c>
      <c r="H648" s="7">
        <v>0.56599999999999995</v>
      </c>
    </row>
    <row r="649" spans="1:8" ht="28.8" x14ac:dyDescent="0.3">
      <c r="A649" s="5">
        <v>485310</v>
      </c>
      <c r="B649" s="5">
        <v>485000</v>
      </c>
      <c r="C649" s="6" t="s">
        <v>690</v>
      </c>
      <c r="D649" s="4" t="s">
        <v>5</v>
      </c>
      <c r="E649" s="1" t="s">
        <v>6</v>
      </c>
      <c r="F649" s="7">
        <v>0.56599999999999995</v>
      </c>
      <c r="G649" s="7">
        <v>0</v>
      </c>
      <c r="H649" s="7">
        <v>0.56599999999999995</v>
      </c>
    </row>
    <row r="650" spans="1:8" ht="28.8" x14ac:dyDescent="0.3">
      <c r="A650" s="5">
        <v>485320</v>
      </c>
      <c r="B650" s="5">
        <v>485000</v>
      </c>
      <c r="C650" s="6" t="s">
        <v>691</v>
      </c>
      <c r="D650" s="4" t="s">
        <v>5</v>
      </c>
      <c r="E650" s="1" t="s">
        <v>6</v>
      </c>
      <c r="F650" s="7">
        <v>0.56599999999999995</v>
      </c>
      <c r="G650" s="7">
        <v>0</v>
      </c>
      <c r="H650" s="7">
        <v>0.56599999999999995</v>
      </c>
    </row>
    <row r="651" spans="1:8" ht="28.8" x14ac:dyDescent="0.3">
      <c r="A651" s="5">
        <v>485410</v>
      </c>
      <c r="B651" s="5">
        <v>485000</v>
      </c>
      <c r="C651" s="6" t="s">
        <v>692</v>
      </c>
      <c r="D651" s="4" t="s">
        <v>5</v>
      </c>
      <c r="E651" s="1" t="s">
        <v>6</v>
      </c>
      <c r="F651" s="7">
        <v>0.56599999999999995</v>
      </c>
      <c r="G651" s="7">
        <v>0</v>
      </c>
      <c r="H651" s="7">
        <v>0.56599999999999995</v>
      </c>
    </row>
    <row r="652" spans="1:8" ht="28.8" x14ac:dyDescent="0.3">
      <c r="A652" s="5">
        <v>485510</v>
      </c>
      <c r="B652" s="5">
        <v>485000</v>
      </c>
      <c r="C652" s="6" t="s">
        <v>693</v>
      </c>
      <c r="D652" s="4" t="s">
        <v>5</v>
      </c>
      <c r="E652" s="1" t="s">
        <v>6</v>
      </c>
      <c r="F652" s="7">
        <v>0.56599999999999995</v>
      </c>
      <c r="G652" s="7">
        <v>0</v>
      </c>
      <c r="H652" s="7">
        <v>0.56599999999999995</v>
      </c>
    </row>
    <row r="653" spans="1:8" ht="28.8" x14ac:dyDescent="0.3">
      <c r="A653" s="5">
        <v>485991</v>
      </c>
      <c r="B653" s="5">
        <v>485000</v>
      </c>
      <c r="C653" s="6" t="s">
        <v>694</v>
      </c>
      <c r="D653" s="4" t="s">
        <v>5</v>
      </c>
      <c r="E653" s="1" t="s">
        <v>6</v>
      </c>
      <c r="F653" s="7">
        <v>0.56599999999999995</v>
      </c>
      <c r="G653" s="7">
        <v>0</v>
      </c>
      <c r="H653" s="7">
        <v>0.56599999999999995</v>
      </c>
    </row>
    <row r="654" spans="1:8" ht="28.8" x14ac:dyDescent="0.3">
      <c r="A654" s="5">
        <v>485999</v>
      </c>
      <c r="B654" s="5">
        <v>485000</v>
      </c>
      <c r="C654" s="6" t="s">
        <v>695</v>
      </c>
      <c r="D654" s="4" t="s">
        <v>5</v>
      </c>
      <c r="E654" s="1" t="s">
        <v>6</v>
      </c>
      <c r="F654" s="7">
        <v>0.56599999999999995</v>
      </c>
      <c r="G654" s="7">
        <v>0</v>
      </c>
      <c r="H654" s="7">
        <v>0.56599999999999995</v>
      </c>
    </row>
    <row r="655" spans="1:8" ht="28.8" x14ac:dyDescent="0.3">
      <c r="A655" s="5">
        <v>486110</v>
      </c>
      <c r="B655" s="5">
        <v>486000</v>
      </c>
      <c r="C655" s="6" t="s">
        <v>696</v>
      </c>
      <c r="D655" s="4" t="s">
        <v>5</v>
      </c>
      <c r="E655" s="1" t="s">
        <v>6</v>
      </c>
      <c r="F655" s="7">
        <v>1.619</v>
      </c>
      <c r="G655" s="7">
        <v>0</v>
      </c>
      <c r="H655" s="7">
        <v>1.619</v>
      </c>
    </row>
    <row r="656" spans="1:8" ht="28.8" x14ac:dyDescent="0.3">
      <c r="A656" s="5">
        <v>486210</v>
      </c>
      <c r="B656" s="5">
        <v>486000</v>
      </c>
      <c r="C656" s="6" t="s">
        <v>697</v>
      </c>
      <c r="D656" s="4" t="s">
        <v>5</v>
      </c>
      <c r="E656" s="1" t="s">
        <v>6</v>
      </c>
      <c r="F656" s="7">
        <v>1.619</v>
      </c>
      <c r="G656" s="7">
        <v>0</v>
      </c>
      <c r="H656" s="7">
        <v>1.619</v>
      </c>
    </row>
    <row r="657" spans="1:8" ht="28.8" x14ac:dyDescent="0.3">
      <c r="A657" s="5">
        <v>486910</v>
      </c>
      <c r="B657" s="5">
        <v>486000</v>
      </c>
      <c r="C657" s="6" t="s">
        <v>698</v>
      </c>
      <c r="D657" s="4" t="s">
        <v>5</v>
      </c>
      <c r="E657" s="1" t="s">
        <v>6</v>
      </c>
      <c r="F657" s="7">
        <v>1.619</v>
      </c>
      <c r="G657" s="7">
        <v>0</v>
      </c>
      <c r="H657" s="7">
        <v>1.619</v>
      </c>
    </row>
    <row r="658" spans="1:8" ht="28.8" x14ac:dyDescent="0.3">
      <c r="A658" s="5">
        <v>486990</v>
      </c>
      <c r="B658" s="5">
        <v>486000</v>
      </c>
      <c r="C658" s="6" t="s">
        <v>699</v>
      </c>
      <c r="D658" s="4" t="s">
        <v>5</v>
      </c>
      <c r="E658" s="1" t="s">
        <v>6</v>
      </c>
      <c r="F658" s="7">
        <v>1.619</v>
      </c>
      <c r="G658" s="7">
        <v>0</v>
      </c>
      <c r="H658" s="7">
        <v>1.619</v>
      </c>
    </row>
    <row r="659" spans="1:8" ht="28.8" x14ac:dyDescent="0.3">
      <c r="A659" s="5">
        <v>487110</v>
      </c>
      <c r="B659" s="5" t="s">
        <v>701</v>
      </c>
      <c r="C659" s="6" t="s">
        <v>700</v>
      </c>
      <c r="D659" s="4" t="s">
        <v>5</v>
      </c>
      <c r="E659" s="1" t="s">
        <v>6</v>
      </c>
      <c r="F659" s="7">
        <v>0.16200000000000001</v>
      </c>
      <c r="G659" s="7">
        <v>0</v>
      </c>
      <c r="H659" s="7">
        <v>0.16200000000000001</v>
      </c>
    </row>
    <row r="660" spans="1:8" ht="28.8" x14ac:dyDescent="0.3">
      <c r="A660" s="5">
        <v>487210</v>
      </c>
      <c r="B660" s="5" t="s">
        <v>701</v>
      </c>
      <c r="C660" s="6" t="s">
        <v>702</v>
      </c>
      <c r="D660" s="4" t="s">
        <v>5</v>
      </c>
      <c r="E660" s="1" t="s">
        <v>6</v>
      </c>
      <c r="F660" s="7">
        <v>0.16200000000000001</v>
      </c>
      <c r="G660" s="7">
        <v>0</v>
      </c>
      <c r="H660" s="7">
        <v>0.16200000000000001</v>
      </c>
    </row>
    <row r="661" spans="1:8" ht="28.8" x14ac:dyDescent="0.3">
      <c r="A661" s="5">
        <v>487990</v>
      </c>
      <c r="B661" s="5" t="s">
        <v>701</v>
      </c>
      <c r="C661" s="6" t="s">
        <v>703</v>
      </c>
      <c r="D661" s="4" t="s">
        <v>5</v>
      </c>
      <c r="E661" s="1" t="s">
        <v>6</v>
      </c>
      <c r="F661" s="7">
        <v>0.16200000000000001</v>
      </c>
      <c r="G661" s="7">
        <v>0</v>
      </c>
      <c r="H661" s="7">
        <v>0.16200000000000001</v>
      </c>
    </row>
    <row r="662" spans="1:8" ht="28.8" x14ac:dyDescent="0.3">
      <c r="A662" s="5">
        <v>488111</v>
      </c>
      <c r="B662" s="5" t="s">
        <v>701</v>
      </c>
      <c r="C662" s="6" t="s">
        <v>704</v>
      </c>
      <c r="D662" s="4" t="s">
        <v>5</v>
      </c>
      <c r="E662" s="1" t="s">
        <v>6</v>
      </c>
      <c r="F662" s="7">
        <v>0.16200000000000001</v>
      </c>
      <c r="G662" s="7">
        <v>0</v>
      </c>
      <c r="H662" s="7">
        <v>0.16200000000000001</v>
      </c>
    </row>
    <row r="663" spans="1:8" ht="28.8" x14ac:dyDescent="0.3">
      <c r="A663" s="5">
        <v>488119</v>
      </c>
      <c r="B663" s="5" t="s">
        <v>701</v>
      </c>
      <c r="C663" s="6" t="s">
        <v>705</v>
      </c>
      <c r="D663" s="4" t="s">
        <v>5</v>
      </c>
      <c r="E663" s="1" t="s">
        <v>6</v>
      </c>
      <c r="F663" s="7">
        <v>0.16200000000000001</v>
      </c>
      <c r="G663" s="7">
        <v>0</v>
      </c>
      <c r="H663" s="7">
        <v>0.16200000000000001</v>
      </c>
    </row>
    <row r="664" spans="1:8" ht="28.8" x14ac:dyDescent="0.3">
      <c r="A664" s="5">
        <v>488190</v>
      </c>
      <c r="B664" s="5" t="s">
        <v>701</v>
      </c>
      <c r="C664" s="6" t="s">
        <v>706</v>
      </c>
      <c r="D664" s="4" t="s">
        <v>5</v>
      </c>
      <c r="E664" s="1" t="s">
        <v>6</v>
      </c>
      <c r="F664" s="7">
        <v>0.16200000000000001</v>
      </c>
      <c r="G664" s="7">
        <v>0</v>
      </c>
      <c r="H664" s="7">
        <v>0.16200000000000001</v>
      </c>
    </row>
    <row r="665" spans="1:8" ht="28.8" x14ac:dyDescent="0.3">
      <c r="A665" s="5">
        <v>488210</v>
      </c>
      <c r="B665" s="5" t="s">
        <v>701</v>
      </c>
      <c r="C665" s="6" t="s">
        <v>707</v>
      </c>
      <c r="D665" s="4" t="s">
        <v>5</v>
      </c>
      <c r="E665" s="1" t="s">
        <v>6</v>
      </c>
      <c r="F665" s="7">
        <v>0.16200000000000001</v>
      </c>
      <c r="G665" s="7">
        <v>0</v>
      </c>
      <c r="H665" s="7">
        <v>0.16200000000000001</v>
      </c>
    </row>
    <row r="666" spans="1:8" ht="28.8" x14ac:dyDescent="0.3">
      <c r="A666" s="5">
        <v>488310</v>
      </c>
      <c r="B666" s="5" t="s">
        <v>701</v>
      </c>
      <c r="C666" s="6" t="s">
        <v>708</v>
      </c>
      <c r="D666" s="4" t="s">
        <v>5</v>
      </c>
      <c r="E666" s="1" t="s">
        <v>6</v>
      </c>
      <c r="F666" s="7">
        <v>0.16200000000000001</v>
      </c>
      <c r="G666" s="7">
        <v>0</v>
      </c>
      <c r="H666" s="7">
        <v>0.16200000000000001</v>
      </c>
    </row>
    <row r="667" spans="1:8" ht="28.8" x14ac:dyDescent="0.3">
      <c r="A667" s="5">
        <v>488320</v>
      </c>
      <c r="B667" s="5" t="s">
        <v>701</v>
      </c>
      <c r="C667" s="6" t="s">
        <v>709</v>
      </c>
      <c r="D667" s="4" t="s">
        <v>5</v>
      </c>
      <c r="E667" s="1" t="s">
        <v>6</v>
      </c>
      <c r="F667" s="7">
        <v>0.16200000000000001</v>
      </c>
      <c r="G667" s="7">
        <v>0</v>
      </c>
      <c r="H667" s="7">
        <v>0.16200000000000001</v>
      </c>
    </row>
    <row r="668" spans="1:8" ht="28.8" x14ac:dyDescent="0.3">
      <c r="A668" s="5">
        <v>488330</v>
      </c>
      <c r="B668" s="5" t="s">
        <v>701</v>
      </c>
      <c r="C668" s="6" t="s">
        <v>710</v>
      </c>
      <c r="D668" s="4" t="s">
        <v>5</v>
      </c>
      <c r="E668" s="1" t="s">
        <v>6</v>
      </c>
      <c r="F668" s="7">
        <v>0.16200000000000001</v>
      </c>
      <c r="G668" s="7">
        <v>0</v>
      </c>
      <c r="H668" s="7">
        <v>0.16200000000000001</v>
      </c>
    </row>
    <row r="669" spans="1:8" ht="28.8" x14ac:dyDescent="0.3">
      <c r="A669" s="5">
        <v>488390</v>
      </c>
      <c r="B669" s="5" t="s">
        <v>701</v>
      </c>
      <c r="C669" s="6" t="s">
        <v>711</v>
      </c>
      <c r="D669" s="4" t="s">
        <v>5</v>
      </c>
      <c r="E669" s="1" t="s">
        <v>6</v>
      </c>
      <c r="F669" s="7">
        <v>0.16200000000000001</v>
      </c>
      <c r="G669" s="7">
        <v>0</v>
      </c>
      <c r="H669" s="7">
        <v>0.16200000000000001</v>
      </c>
    </row>
    <row r="670" spans="1:8" ht="28.8" x14ac:dyDescent="0.3">
      <c r="A670" s="5">
        <v>488410</v>
      </c>
      <c r="B670" s="5" t="s">
        <v>701</v>
      </c>
      <c r="C670" s="6" t="s">
        <v>712</v>
      </c>
      <c r="D670" s="4" t="s">
        <v>5</v>
      </c>
      <c r="E670" s="1" t="s">
        <v>6</v>
      </c>
      <c r="F670" s="7">
        <v>0.16200000000000001</v>
      </c>
      <c r="G670" s="7">
        <v>0</v>
      </c>
      <c r="H670" s="7">
        <v>0.16200000000000001</v>
      </c>
    </row>
    <row r="671" spans="1:8" ht="28.8" x14ac:dyDescent="0.3">
      <c r="A671" s="5">
        <v>488490</v>
      </c>
      <c r="B671" s="5" t="s">
        <v>701</v>
      </c>
      <c r="C671" s="6" t="s">
        <v>713</v>
      </c>
      <c r="D671" s="4" t="s">
        <v>5</v>
      </c>
      <c r="E671" s="1" t="s">
        <v>6</v>
      </c>
      <c r="F671" s="7">
        <v>0.16200000000000001</v>
      </c>
      <c r="G671" s="7">
        <v>0</v>
      </c>
      <c r="H671" s="7">
        <v>0.16200000000000001</v>
      </c>
    </row>
    <row r="672" spans="1:8" ht="28.8" x14ac:dyDescent="0.3">
      <c r="A672" s="5">
        <v>488510</v>
      </c>
      <c r="B672" s="5" t="s">
        <v>701</v>
      </c>
      <c r="C672" s="6" t="s">
        <v>714</v>
      </c>
      <c r="D672" s="4" t="s">
        <v>5</v>
      </c>
      <c r="E672" s="1" t="s">
        <v>6</v>
      </c>
      <c r="F672" s="7">
        <v>0.16200000000000001</v>
      </c>
      <c r="G672" s="7">
        <v>0</v>
      </c>
      <c r="H672" s="7">
        <v>0.16200000000000001</v>
      </c>
    </row>
    <row r="673" spans="1:8" ht="28.8" x14ac:dyDescent="0.3">
      <c r="A673" s="5">
        <v>488991</v>
      </c>
      <c r="B673" s="5" t="s">
        <v>701</v>
      </c>
      <c r="C673" s="6" t="s">
        <v>715</v>
      </c>
      <c r="D673" s="4" t="s">
        <v>5</v>
      </c>
      <c r="E673" s="1" t="s">
        <v>6</v>
      </c>
      <c r="F673" s="7">
        <v>0.16200000000000001</v>
      </c>
      <c r="G673" s="7">
        <v>0</v>
      </c>
      <c r="H673" s="7">
        <v>0.16200000000000001</v>
      </c>
    </row>
    <row r="674" spans="1:8" ht="28.8" x14ac:dyDescent="0.3">
      <c r="A674" s="5">
        <v>488999</v>
      </c>
      <c r="B674" s="5" t="s">
        <v>701</v>
      </c>
      <c r="C674" s="6" t="s">
        <v>716</v>
      </c>
      <c r="D674" s="4" t="s">
        <v>5</v>
      </c>
      <c r="E674" s="1" t="s">
        <v>6</v>
      </c>
      <c r="F674" s="7">
        <v>0.16200000000000001</v>
      </c>
      <c r="G674" s="7">
        <v>0</v>
      </c>
      <c r="H674" s="7">
        <v>0.16200000000000001</v>
      </c>
    </row>
    <row r="675" spans="1:8" ht="28.8" x14ac:dyDescent="0.3">
      <c r="A675" s="5">
        <v>491110</v>
      </c>
      <c r="B675" s="5">
        <v>491000</v>
      </c>
      <c r="C675" s="6" t="s">
        <v>717</v>
      </c>
      <c r="D675" s="4" t="s">
        <v>5</v>
      </c>
      <c r="E675" s="1" t="s">
        <v>6</v>
      </c>
      <c r="F675" s="7">
        <v>7.3999999999999996E-2</v>
      </c>
      <c r="G675" s="7">
        <v>0</v>
      </c>
      <c r="H675" s="7">
        <v>7.3999999999999996E-2</v>
      </c>
    </row>
    <row r="676" spans="1:8" ht="28.8" x14ac:dyDescent="0.3">
      <c r="A676" s="5">
        <v>492110</v>
      </c>
      <c r="B676" s="5">
        <v>492000</v>
      </c>
      <c r="C676" s="6" t="s">
        <v>718</v>
      </c>
      <c r="D676" s="4" t="s">
        <v>5</v>
      </c>
      <c r="E676" s="1" t="s">
        <v>6</v>
      </c>
      <c r="F676" s="7">
        <v>0.30299999999999999</v>
      </c>
      <c r="G676" s="7">
        <v>0</v>
      </c>
      <c r="H676" s="7">
        <v>0.30299999999999999</v>
      </c>
    </row>
    <row r="677" spans="1:8" ht="28.8" x14ac:dyDescent="0.3">
      <c r="A677" s="5">
        <v>492210</v>
      </c>
      <c r="B677" s="5">
        <v>492000</v>
      </c>
      <c r="C677" s="6" t="s">
        <v>719</v>
      </c>
      <c r="D677" s="4" t="s">
        <v>5</v>
      </c>
      <c r="E677" s="1" t="s">
        <v>6</v>
      </c>
      <c r="F677" s="7">
        <v>0.30299999999999999</v>
      </c>
      <c r="G677" s="7">
        <v>0</v>
      </c>
      <c r="H677" s="7">
        <v>0.30299999999999999</v>
      </c>
    </row>
    <row r="678" spans="1:8" ht="28.8" x14ac:dyDescent="0.3">
      <c r="A678" s="5">
        <v>493110</v>
      </c>
      <c r="B678" s="5">
        <v>493000</v>
      </c>
      <c r="C678" s="6" t="s">
        <v>720</v>
      </c>
      <c r="D678" s="4" t="s">
        <v>5</v>
      </c>
      <c r="E678" s="1" t="s">
        <v>6</v>
      </c>
      <c r="F678" s="7">
        <v>0.24399999999999999</v>
      </c>
      <c r="G678" s="7">
        <v>0</v>
      </c>
      <c r="H678" s="7">
        <v>0.24399999999999999</v>
      </c>
    </row>
    <row r="679" spans="1:8" ht="28.8" x14ac:dyDescent="0.3">
      <c r="A679" s="5">
        <v>493120</v>
      </c>
      <c r="B679" s="5">
        <v>493000</v>
      </c>
      <c r="C679" s="6" t="s">
        <v>721</v>
      </c>
      <c r="D679" s="4" t="s">
        <v>5</v>
      </c>
      <c r="E679" s="1" t="s">
        <v>6</v>
      </c>
      <c r="F679" s="7">
        <v>0.24399999999999999</v>
      </c>
      <c r="G679" s="7">
        <v>0</v>
      </c>
      <c r="H679" s="7">
        <v>0.24399999999999999</v>
      </c>
    </row>
    <row r="680" spans="1:8" ht="28.8" x14ac:dyDescent="0.3">
      <c r="A680" s="5">
        <v>493130</v>
      </c>
      <c r="B680" s="5">
        <v>493000</v>
      </c>
      <c r="C680" s="6" t="s">
        <v>722</v>
      </c>
      <c r="D680" s="4" t="s">
        <v>5</v>
      </c>
      <c r="E680" s="1" t="s">
        <v>6</v>
      </c>
      <c r="F680" s="7">
        <v>0.24399999999999999</v>
      </c>
      <c r="G680" s="7">
        <v>0</v>
      </c>
      <c r="H680" s="7">
        <v>0.24399999999999999</v>
      </c>
    </row>
    <row r="681" spans="1:8" ht="28.8" x14ac:dyDescent="0.3">
      <c r="A681" s="5">
        <v>493190</v>
      </c>
      <c r="B681" s="5">
        <v>493000</v>
      </c>
      <c r="C681" s="6" t="s">
        <v>723</v>
      </c>
      <c r="D681" s="4" t="s">
        <v>5</v>
      </c>
      <c r="E681" s="1" t="s">
        <v>6</v>
      </c>
      <c r="F681" s="7">
        <v>0.24399999999999999</v>
      </c>
      <c r="G681" s="7">
        <v>0</v>
      </c>
      <c r="H681" s="7">
        <v>0.24399999999999999</v>
      </c>
    </row>
    <row r="682" spans="1:8" ht="28.8" x14ac:dyDescent="0.3">
      <c r="A682" s="5">
        <v>511110</v>
      </c>
      <c r="B682" s="5">
        <v>511110</v>
      </c>
      <c r="C682" s="6" t="s">
        <v>724</v>
      </c>
      <c r="D682" s="4" t="s">
        <v>5</v>
      </c>
      <c r="E682" s="1" t="s">
        <v>6</v>
      </c>
      <c r="F682" s="7">
        <v>4.2999999999999997E-2</v>
      </c>
      <c r="G682" s="7">
        <v>3.9E-2</v>
      </c>
      <c r="H682" s="7">
        <v>8.2000000000000003E-2</v>
      </c>
    </row>
    <row r="683" spans="1:8" ht="28.8" x14ac:dyDescent="0.3">
      <c r="A683" s="5">
        <v>511120</v>
      </c>
      <c r="B683" s="5">
        <v>511120</v>
      </c>
      <c r="C683" s="6" t="s">
        <v>725</v>
      </c>
      <c r="D683" s="4" t="s">
        <v>5</v>
      </c>
      <c r="E683" s="1" t="s">
        <v>6</v>
      </c>
      <c r="F683" s="7">
        <v>5.8999999999999997E-2</v>
      </c>
      <c r="G683" s="7">
        <v>4.2999999999999997E-2</v>
      </c>
      <c r="H683" s="7">
        <v>0.10299999999999999</v>
      </c>
    </row>
    <row r="684" spans="1:8" ht="28.8" x14ac:dyDescent="0.3">
      <c r="A684" s="5">
        <v>511130</v>
      </c>
      <c r="B684" s="5">
        <v>511130</v>
      </c>
      <c r="C684" s="6" t="s">
        <v>726</v>
      </c>
      <c r="D684" s="4" t="s">
        <v>5</v>
      </c>
      <c r="E684" s="1" t="s">
        <v>6</v>
      </c>
      <c r="F684" s="7">
        <v>7.1999999999999995E-2</v>
      </c>
      <c r="G684" s="7">
        <v>3.5000000000000003E-2</v>
      </c>
      <c r="H684" s="7">
        <v>0.107</v>
      </c>
    </row>
    <row r="685" spans="1:8" ht="28.8" x14ac:dyDescent="0.3">
      <c r="A685" s="5">
        <v>511140</v>
      </c>
      <c r="B685" s="5" t="s">
        <v>728</v>
      </c>
      <c r="C685" s="6" t="s">
        <v>727</v>
      </c>
      <c r="D685" s="4" t="s">
        <v>5</v>
      </c>
      <c r="E685" s="1" t="s">
        <v>6</v>
      </c>
      <c r="F685" s="7">
        <v>5.2999999999999999E-2</v>
      </c>
      <c r="G685" s="7">
        <v>5.5E-2</v>
      </c>
      <c r="H685" s="7">
        <v>0.108</v>
      </c>
    </row>
    <row r="686" spans="1:8" ht="28.8" x14ac:dyDescent="0.3">
      <c r="A686" s="5">
        <v>511191</v>
      </c>
      <c r="B686" s="5" t="s">
        <v>728</v>
      </c>
      <c r="C686" s="6" t="s">
        <v>729</v>
      </c>
      <c r="D686" s="4" t="s">
        <v>5</v>
      </c>
      <c r="E686" s="1" t="s">
        <v>6</v>
      </c>
      <c r="F686" s="7">
        <v>5.2999999999999999E-2</v>
      </c>
      <c r="G686" s="7">
        <v>5.5E-2</v>
      </c>
      <c r="H686" s="7">
        <v>0.108</v>
      </c>
    </row>
    <row r="687" spans="1:8" ht="28.8" x14ac:dyDescent="0.3">
      <c r="A687" s="5">
        <v>511199</v>
      </c>
      <c r="B687" s="5" t="s">
        <v>728</v>
      </c>
      <c r="C687" s="6" t="s">
        <v>730</v>
      </c>
      <c r="D687" s="4" t="s">
        <v>5</v>
      </c>
      <c r="E687" s="1" t="s">
        <v>6</v>
      </c>
      <c r="F687" s="7">
        <v>5.2999999999999999E-2</v>
      </c>
      <c r="G687" s="7">
        <v>5.5E-2</v>
      </c>
      <c r="H687" s="7">
        <v>0.108</v>
      </c>
    </row>
    <row r="688" spans="1:8" ht="28.8" x14ac:dyDescent="0.3">
      <c r="A688" s="5">
        <v>511210</v>
      </c>
      <c r="B688" s="5">
        <v>511200</v>
      </c>
      <c r="C688" s="6" t="s">
        <v>731</v>
      </c>
      <c r="D688" s="4" t="s">
        <v>5</v>
      </c>
      <c r="E688" s="1" t="s">
        <v>6</v>
      </c>
      <c r="F688" s="7">
        <v>3.5999999999999997E-2</v>
      </c>
      <c r="G688" s="7">
        <v>4.4999999999999998E-2</v>
      </c>
      <c r="H688" s="7">
        <v>0.08</v>
      </c>
    </row>
    <row r="689" spans="1:8" ht="28.8" x14ac:dyDescent="0.3">
      <c r="A689" s="5">
        <v>512110</v>
      </c>
      <c r="B689" s="5">
        <v>512100</v>
      </c>
      <c r="C689" s="6" t="s">
        <v>732</v>
      </c>
      <c r="D689" s="4" t="s">
        <v>5</v>
      </c>
      <c r="E689" s="1" t="s">
        <v>6</v>
      </c>
      <c r="F689" s="7">
        <v>4.7E-2</v>
      </c>
      <c r="G689" s="7">
        <v>5.0000000000000001E-3</v>
      </c>
      <c r="H689" s="7">
        <v>5.1999999999999998E-2</v>
      </c>
    </row>
    <row r="690" spans="1:8" ht="28.8" x14ac:dyDescent="0.3">
      <c r="A690" s="5">
        <v>512120</v>
      </c>
      <c r="B690" s="5">
        <v>512100</v>
      </c>
      <c r="C690" s="6" t="s">
        <v>733</v>
      </c>
      <c r="D690" s="4" t="s">
        <v>5</v>
      </c>
      <c r="E690" s="1" t="s">
        <v>6</v>
      </c>
      <c r="F690" s="7">
        <v>4.7E-2</v>
      </c>
      <c r="G690" s="7">
        <v>5.0000000000000001E-3</v>
      </c>
      <c r="H690" s="7">
        <v>5.1999999999999998E-2</v>
      </c>
    </row>
    <row r="691" spans="1:8" ht="28.8" x14ac:dyDescent="0.3">
      <c r="A691" s="5">
        <v>512131</v>
      </c>
      <c r="B691" s="5">
        <v>512100</v>
      </c>
      <c r="C691" s="6" t="s">
        <v>734</v>
      </c>
      <c r="D691" s="4" t="s">
        <v>5</v>
      </c>
      <c r="E691" s="1" t="s">
        <v>6</v>
      </c>
      <c r="F691" s="7">
        <v>4.7E-2</v>
      </c>
      <c r="G691" s="7">
        <v>5.0000000000000001E-3</v>
      </c>
      <c r="H691" s="7">
        <v>5.1999999999999998E-2</v>
      </c>
    </row>
    <row r="692" spans="1:8" ht="28.8" x14ac:dyDescent="0.3">
      <c r="A692" s="5">
        <v>512132</v>
      </c>
      <c r="B692" s="5">
        <v>512100</v>
      </c>
      <c r="C692" s="6" t="s">
        <v>735</v>
      </c>
      <c r="D692" s="4" t="s">
        <v>5</v>
      </c>
      <c r="E692" s="1" t="s">
        <v>6</v>
      </c>
      <c r="F692" s="7">
        <v>4.7E-2</v>
      </c>
      <c r="G692" s="7">
        <v>5.0000000000000001E-3</v>
      </c>
      <c r="H692" s="7">
        <v>5.1999999999999998E-2</v>
      </c>
    </row>
    <row r="693" spans="1:8" ht="28.8" x14ac:dyDescent="0.3">
      <c r="A693" s="5">
        <v>512191</v>
      </c>
      <c r="B693" s="5">
        <v>512100</v>
      </c>
      <c r="C693" s="6" t="s">
        <v>736</v>
      </c>
      <c r="D693" s="4" t="s">
        <v>5</v>
      </c>
      <c r="E693" s="1" t="s">
        <v>6</v>
      </c>
      <c r="F693" s="7">
        <v>4.7E-2</v>
      </c>
      <c r="G693" s="7">
        <v>5.0000000000000001E-3</v>
      </c>
      <c r="H693" s="7">
        <v>5.1999999999999998E-2</v>
      </c>
    </row>
    <row r="694" spans="1:8" ht="28.8" x14ac:dyDescent="0.3">
      <c r="A694" s="5">
        <v>512199</v>
      </c>
      <c r="B694" s="5">
        <v>512100</v>
      </c>
      <c r="C694" s="6" t="s">
        <v>737</v>
      </c>
      <c r="D694" s="4" t="s">
        <v>5</v>
      </c>
      <c r="E694" s="1" t="s">
        <v>6</v>
      </c>
      <c r="F694" s="7">
        <v>4.7E-2</v>
      </c>
      <c r="G694" s="7">
        <v>5.0000000000000001E-3</v>
      </c>
      <c r="H694" s="7">
        <v>5.1999999999999998E-2</v>
      </c>
    </row>
    <row r="695" spans="1:8" ht="28.8" x14ac:dyDescent="0.3">
      <c r="A695" s="5">
        <v>512230</v>
      </c>
      <c r="B695" s="5">
        <v>512200</v>
      </c>
      <c r="C695" s="6" t="s">
        <v>738</v>
      </c>
      <c r="D695" s="4" t="s">
        <v>5</v>
      </c>
      <c r="E695" s="1" t="s">
        <v>6</v>
      </c>
      <c r="F695" s="7">
        <v>2.5999999999999999E-2</v>
      </c>
      <c r="G695" s="7">
        <v>1.7999999999999999E-2</v>
      </c>
      <c r="H695" s="7">
        <v>4.3999999999999997E-2</v>
      </c>
    </row>
    <row r="696" spans="1:8" ht="28.8" x14ac:dyDescent="0.3">
      <c r="A696" s="5">
        <v>512240</v>
      </c>
      <c r="B696" s="5">
        <v>512200</v>
      </c>
      <c r="C696" s="6" t="s">
        <v>739</v>
      </c>
      <c r="D696" s="4" t="s">
        <v>5</v>
      </c>
      <c r="E696" s="1" t="s">
        <v>6</v>
      </c>
      <c r="F696" s="7">
        <v>2.5999999999999999E-2</v>
      </c>
      <c r="G696" s="7">
        <v>1.7999999999999999E-2</v>
      </c>
      <c r="H696" s="7">
        <v>4.3999999999999997E-2</v>
      </c>
    </row>
    <row r="697" spans="1:8" ht="28.8" x14ac:dyDescent="0.3">
      <c r="A697" s="5">
        <v>512250</v>
      </c>
      <c r="B697" s="5">
        <v>512200</v>
      </c>
      <c r="C697" s="6" t="s">
        <v>740</v>
      </c>
      <c r="D697" s="4" t="s">
        <v>5</v>
      </c>
      <c r="E697" s="1" t="s">
        <v>6</v>
      </c>
      <c r="F697" s="7">
        <v>2.5999999999999999E-2</v>
      </c>
      <c r="G697" s="7">
        <v>1.7999999999999999E-2</v>
      </c>
      <c r="H697" s="7">
        <v>4.3999999999999997E-2</v>
      </c>
    </row>
    <row r="698" spans="1:8" ht="28.8" x14ac:dyDescent="0.3">
      <c r="A698" s="5">
        <v>512290</v>
      </c>
      <c r="B698" s="5">
        <v>512200</v>
      </c>
      <c r="C698" s="6" t="s">
        <v>741</v>
      </c>
      <c r="D698" s="4" t="s">
        <v>5</v>
      </c>
      <c r="E698" s="1" t="s">
        <v>6</v>
      </c>
      <c r="F698" s="7">
        <v>2.5999999999999999E-2</v>
      </c>
      <c r="G698" s="7">
        <v>1.7999999999999999E-2</v>
      </c>
      <c r="H698" s="7">
        <v>4.3999999999999997E-2</v>
      </c>
    </row>
    <row r="699" spans="1:8" ht="28.8" x14ac:dyDescent="0.3">
      <c r="A699" s="5">
        <v>515111</v>
      </c>
      <c r="B699" s="5">
        <v>515100</v>
      </c>
      <c r="C699" s="6" t="s">
        <v>742</v>
      </c>
      <c r="D699" s="4" t="s">
        <v>5</v>
      </c>
      <c r="E699" s="1" t="s">
        <v>6</v>
      </c>
      <c r="F699" s="7">
        <v>7.9000000000000001E-2</v>
      </c>
      <c r="G699" s="7">
        <v>0</v>
      </c>
      <c r="H699" s="7">
        <v>7.9000000000000001E-2</v>
      </c>
    </row>
    <row r="700" spans="1:8" ht="28.8" x14ac:dyDescent="0.3">
      <c r="A700" s="5">
        <v>515112</v>
      </c>
      <c r="B700" s="5">
        <v>515100</v>
      </c>
      <c r="C700" s="6" t="s">
        <v>743</v>
      </c>
      <c r="D700" s="4" t="s">
        <v>5</v>
      </c>
      <c r="E700" s="1" t="s">
        <v>6</v>
      </c>
      <c r="F700" s="7">
        <v>7.9000000000000001E-2</v>
      </c>
      <c r="G700" s="7">
        <v>0</v>
      </c>
      <c r="H700" s="7">
        <v>7.9000000000000001E-2</v>
      </c>
    </row>
    <row r="701" spans="1:8" ht="28.8" x14ac:dyDescent="0.3">
      <c r="A701" s="5">
        <v>515120</v>
      </c>
      <c r="B701" s="5">
        <v>515100</v>
      </c>
      <c r="C701" s="6" t="s">
        <v>744</v>
      </c>
      <c r="D701" s="4" t="s">
        <v>5</v>
      </c>
      <c r="E701" s="1" t="s">
        <v>6</v>
      </c>
      <c r="F701" s="7">
        <v>7.9000000000000001E-2</v>
      </c>
      <c r="G701" s="7">
        <v>0</v>
      </c>
      <c r="H701" s="7">
        <v>7.9000000000000001E-2</v>
      </c>
    </row>
    <row r="702" spans="1:8" ht="28.8" x14ac:dyDescent="0.3">
      <c r="A702" s="5">
        <v>515210</v>
      </c>
      <c r="B702" s="5">
        <v>515200</v>
      </c>
      <c r="C702" s="6" t="s">
        <v>745</v>
      </c>
      <c r="D702" s="4" t="s">
        <v>5</v>
      </c>
      <c r="E702" s="1" t="s">
        <v>6</v>
      </c>
      <c r="F702" s="7">
        <v>9.4E-2</v>
      </c>
      <c r="G702" s="7">
        <v>0</v>
      </c>
      <c r="H702" s="7">
        <v>9.4E-2</v>
      </c>
    </row>
    <row r="703" spans="1:8" ht="28.8" x14ac:dyDescent="0.3">
      <c r="A703" s="5">
        <v>517311</v>
      </c>
      <c r="B703" s="5">
        <v>517110</v>
      </c>
      <c r="C703" s="6" t="s">
        <v>746</v>
      </c>
      <c r="D703" s="4" t="s">
        <v>5</v>
      </c>
      <c r="E703" s="1" t="s">
        <v>6</v>
      </c>
      <c r="F703" s="7">
        <v>7.4999999999999997E-2</v>
      </c>
      <c r="G703" s="7">
        <v>0</v>
      </c>
      <c r="H703" s="7">
        <v>7.4999999999999997E-2</v>
      </c>
    </row>
    <row r="704" spans="1:8" ht="28.8" x14ac:dyDescent="0.3">
      <c r="A704" s="5">
        <v>517312</v>
      </c>
      <c r="B704" s="5">
        <v>517210</v>
      </c>
      <c r="C704" s="6" t="s">
        <v>747</v>
      </c>
      <c r="D704" s="4" t="s">
        <v>5</v>
      </c>
      <c r="E704" s="1" t="s">
        <v>6</v>
      </c>
      <c r="F704" s="7">
        <v>9.6000000000000002E-2</v>
      </c>
      <c r="G704" s="7">
        <v>0</v>
      </c>
      <c r="H704" s="7">
        <v>9.6000000000000002E-2</v>
      </c>
    </row>
    <row r="705" spans="1:8" ht="28.8" x14ac:dyDescent="0.3">
      <c r="A705" s="5">
        <v>517410</v>
      </c>
      <c r="B705" s="5" t="s">
        <v>749</v>
      </c>
      <c r="C705" s="6" t="s">
        <v>748</v>
      </c>
      <c r="D705" s="4" t="s">
        <v>5</v>
      </c>
      <c r="E705" s="1" t="s">
        <v>6</v>
      </c>
      <c r="F705" s="7">
        <v>7.8E-2</v>
      </c>
      <c r="G705" s="7">
        <v>0</v>
      </c>
      <c r="H705" s="7">
        <v>7.8E-2</v>
      </c>
    </row>
    <row r="706" spans="1:8" ht="28.8" x14ac:dyDescent="0.3">
      <c r="A706" s="5">
        <v>517911</v>
      </c>
      <c r="B706" s="5" t="s">
        <v>749</v>
      </c>
      <c r="C706" s="6" t="s">
        <v>750</v>
      </c>
      <c r="D706" s="4" t="s">
        <v>5</v>
      </c>
      <c r="E706" s="1" t="s">
        <v>6</v>
      </c>
      <c r="F706" s="7">
        <v>7.8E-2</v>
      </c>
      <c r="G706" s="7">
        <v>0</v>
      </c>
      <c r="H706" s="7">
        <v>7.8E-2</v>
      </c>
    </row>
    <row r="707" spans="1:8" ht="28.8" x14ac:dyDescent="0.3">
      <c r="A707" s="5">
        <v>517919</v>
      </c>
      <c r="B707" s="5" t="s">
        <v>749</v>
      </c>
      <c r="C707" s="6" t="s">
        <v>751</v>
      </c>
      <c r="D707" s="4" t="s">
        <v>5</v>
      </c>
      <c r="E707" s="1" t="s">
        <v>6</v>
      </c>
      <c r="F707" s="7">
        <v>7.8E-2</v>
      </c>
      <c r="G707" s="7">
        <v>0</v>
      </c>
      <c r="H707" s="7">
        <v>7.8E-2</v>
      </c>
    </row>
    <row r="708" spans="1:8" ht="28.8" x14ac:dyDescent="0.3">
      <c r="A708" s="5">
        <v>518210</v>
      </c>
      <c r="B708" s="5">
        <v>518200</v>
      </c>
      <c r="C708" s="6" t="s">
        <v>752</v>
      </c>
      <c r="D708" s="4" t="s">
        <v>5</v>
      </c>
      <c r="E708" s="1" t="s">
        <v>6</v>
      </c>
      <c r="F708" s="7">
        <v>9.2999999999999999E-2</v>
      </c>
      <c r="G708" s="7">
        <v>0</v>
      </c>
      <c r="H708" s="7">
        <v>9.2999999999999999E-2</v>
      </c>
    </row>
    <row r="709" spans="1:8" ht="28.8" x14ac:dyDescent="0.3">
      <c r="A709" s="5">
        <v>519110</v>
      </c>
      <c r="B709" s="5" t="s">
        <v>754</v>
      </c>
      <c r="C709" s="6" t="s">
        <v>753</v>
      </c>
      <c r="D709" s="4" t="s">
        <v>5</v>
      </c>
      <c r="E709" s="1" t="s">
        <v>6</v>
      </c>
      <c r="F709" s="7">
        <v>6.4000000000000001E-2</v>
      </c>
      <c r="G709" s="7">
        <v>0</v>
      </c>
      <c r="H709" s="7">
        <v>6.4000000000000001E-2</v>
      </c>
    </row>
    <row r="710" spans="1:8" ht="28.8" x14ac:dyDescent="0.3">
      <c r="A710" s="5">
        <v>519120</v>
      </c>
      <c r="B710" s="5" t="s">
        <v>754</v>
      </c>
      <c r="C710" s="6" t="s">
        <v>755</v>
      </c>
      <c r="D710" s="4" t="s">
        <v>5</v>
      </c>
      <c r="E710" s="1" t="s">
        <v>6</v>
      </c>
      <c r="F710" s="7">
        <v>6.4000000000000001E-2</v>
      </c>
      <c r="G710" s="7">
        <v>0</v>
      </c>
      <c r="H710" s="7">
        <v>6.4000000000000001E-2</v>
      </c>
    </row>
    <row r="711" spans="1:8" ht="28.8" x14ac:dyDescent="0.3">
      <c r="A711" s="5">
        <v>519130</v>
      </c>
      <c r="B711" s="5">
        <v>519130</v>
      </c>
      <c r="C711" s="6" t="s">
        <v>756</v>
      </c>
      <c r="D711" s="4" t="s">
        <v>5</v>
      </c>
      <c r="E711" s="1" t="s">
        <v>6</v>
      </c>
      <c r="F711" s="7">
        <v>6.7000000000000004E-2</v>
      </c>
      <c r="G711" s="7">
        <v>0</v>
      </c>
      <c r="H711" s="7">
        <v>6.7000000000000004E-2</v>
      </c>
    </row>
    <row r="712" spans="1:8" ht="28.8" x14ac:dyDescent="0.3">
      <c r="A712" s="5">
        <v>519190</v>
      </c>
      <c r="B712" s="5" t="s">
        <v>754</v>
      </c>
      <c r="C712" s="6" t="s">
        <v>757</v>
      </c>
      <c r="D712" s="4" t="s">
        <v>5</v>
      </c>
      <c r="E712" s="1" t="s">
        <v>6</v>
      </c>
      <c r="F712" s="7">
        <v>6.4000000000000001E-2</v>
      </c>
      <c r="G712" s="7">
        <v>0</v>
      </c>
      <c r="H712" s="7">
        <v>6.4000000000000001E-2</v>
      </c>
    </row>
    <row r="713" spans="1:8" ht="28.8" x14ac:dyDescent="0.3">
      <c r="A713" s="5">
        <v>521110</v>
      </c>
      <c r="B713" s="5" t="s">
        <v>759</v>
      </c>
      <c r="C713" s="6" t="s">
        <v>758</v>
      </c>
      <c r="D713" s="4" t="s">
        <v>5</v>
      </c>
      <c r="E713" s="1" t="s">
        <v>6</v>
      </c>
      <c r="F713" s="7">
        <v>5.8999999999999997E-2</v>
      </c>
      <c r="G713" s="7">
        <v>0</v>
      </c>
      <c r="H713" s="7">
        <v>5.8999999999999997E-2</v>
      </c>
    </row>
    <row r="714" spans="1:8" ht="28.8" x14ac:dyDescent="0.3">
      <c r="A714" s="5">
        <v>522110</v>
      </c>
      <c r="B714" s="5" t="s">
        <v>759</v>
      </c>
      <c r="C714" s="6" t="s">
        <v>760</v>
      </c>
      <c r="D714" s="4" t="s">
        <v>5</v>
      </c>
      <c r="E714" s="1" t="s">
        <v>6</v>
      </c>
      <c r="F714" s="7">
        <v>5.8999999999999997E-2</v>
      </c>
      <c r="G714" s="7">
        <v>0</v>
      </c>
      <c r="H714" s="7">
        <v>5.8999999999999997E-2</v>
      </c>
    </row>
    <row r="715" spans="1:8" ht="28.8" x14ac:dyDescent="0.3">
      <c r="A715" s="5">
        <v>522120</v>
      </c>
      <c r="B715" s="5" t="s">
        <v>759</v>
      </c>
      <c r="C715" s="6" t="s">
        <v>761</v>
      </c>
      <c r="D715" s="4" t="s">
        <v>5</v>
      </c>
      <c r="E715" s="1" t="s">
        <v>6</v>
      </c>
      <c r="F715" s="7">
        <v>5.8999999999999997E-2</v>
      </c>
      <c r="G715" s="7">
        <v>0</v>
      </c>
      <c r="H715" s="7">
        <v>5.8999999999999997E-2</v>
      </c>
    </row>
    <row r="716" spans="1:8" ht="28.8" x14ac:dyDescent="0.3">
      <c r="A716" s="5">
        <v>522130</v>
      </c>
      <c r="B716" s="5" t="s">
        <v>759</v>
      </c>
      <c r="C716" s="6" t="s">
        <v>762</v>
      </c>
      <c r="D716" s="4" t="s">
        <v>5</v>
      </c>
      <c r="E716" s="1" t="s">
        <v>6</v>
      </c>
      <c r="F716" s="7">
        <v>5.8999999999999997E-2</v>
      </c>
      <c r="G716" s="7">
        <v>0</v>
      </c>
      <c r="H716" s="7">
        <v>5.8999999999999997E-2</v>
      </c>
    </row>
    <row r="717" spans="1:8" ht="28.8" x14ac:dyDescent="0.3">
      <c r="A717" s="5">
        <v>522190</v>
      </c>
      <c r="B717" s="5" t="s">
        <v>759</v>
      </c>
      <c r="C717" s="6" t="s">
        <v>763</v>
      </c>
      <c r="D717" s="4" t="s">
        <v>5</v>
      </c>
      <c r="E717" s="1" t="s">
        <v>6</v>
      </c>
      <c r="F717" s="7">
        <v>5.8999999999999997E-2</v>
      </c>
      <c r="G717" s="7">
        <v>0</v>
      </c>
      <c r="H717" s="7">
        <v>5.8999999999999997E-2</v>
      </c>
    </row>
    <row r="718" spans="1:8" ht="28.8" x14ac:dyDescent="0.3">
      <c r="A718" s="5">
        <v>522210</v>
      </c>
      <c r="B718" s="5" t="s">
        <v>765</v>
      </c>
      <c r="C718" s="6" t="s">
        <v>764</v>
      </c>
      <c r="D718" s="4" t="s">
        <v>5</v>
      </c>
      <c r="E718" s="1" t="s">
        <v>6</v>
      </c>
      <c r="F718" s="7">
        <v>7.1999999999999995E-2</v>
      </c>
      <c r="G718" s="7">
        <v>0</v>
      </c>
      <c r="H718" s="7">
        <v>7.1999999999999995E-2</v>
      </c>
    </row>
    <row r="719" spans="1:8" ht="28.8" x14ac:dyDescent="0.3">
      <c r="A719" s="5">
        <v>522220</v>
      </c>
      <c r="B719" s="5" t="s">
        <v>765</v>
      </c>
      <c r="C719" s="6" t="s">
        <v>766</v>
      </c>
      <c r="D719" s="4" t="s">
        <v>5</v>
      </c>
      <c r="E719" s="1" t="s">
        <v>6</v>
      </c>
      <c r="F719" s="7">
        <v>7.1999999999999995E-2</v>
      </c>
      <c r="G719" s="7">
        <v>0</v>
      </c>
      <c r="H719" s="7">
        <v>7.1999999999999995E-2</v>
      </c>
    </row>
    <row r="720" spans="1:8" ht="28.8" x14ac:dyDescent="0.3">
      <c r="A720" s="5">
        <v>522291</v>
      </c>
      <c r="B720" s="5" t="s">
        <v>765</v>
      </c>
      <c r="C720" s="6" t="s">
        <v>767</v>
      </c>
      <c r="D720" s="4" t="s">
        <v>5</v>
      </c>
      <c r="E720" s="1" t="s">
        <v>6</v>
      </c>
      <c r="F720" s="7">
        <v>7.1999999999999995E-2</v>
      </c>
      <c r="G720" s="7">
        <v>0</v>
      </c>
      <c r="H720" s="7">
        <v>7.1999999999999995E-2</v>
      </c>
    </row>
    <row r="721" spans="1:8" ht="28.8" x14ac:dyDescent="0.3">
      <c r="A721" s="5">
        <v>522292</v>
      </c>
      <c r="B721" s="5" t="s">
        <v>765</v>
      </c>
      <c r="C721" s="6" t="s">
        <v>768</v>
      </c>
      <c r="D721" s="4" t="s">
        <v>5</v>
      </c>
      <c r="E721" s="1" t="s">
        <v>6</v>
      </c>
      <c r="F721" s="7">
        <v>7.1999999999999995E-2</v>
      </c>
      <c r="G721" s="7">
        <v>0</v>
      </c>
      <c r="H721" s="7">
        <v>7.1999999999999995E-2</v>
      </c>
    </row>
    <row r="722" spans="1:8" ht="28.8" x14ac:dyDescent="0.3">
      <c r="A722" s="5">
        <v>522293</v>
      </c>
      <c r="B722" s="5" t="s">
        <v>765</v>
      </c>
      <c r="C722" s="6" t="s">
        <v>769</v>
      </c>
      <c r="D722" s="4" t="s">
        <v>5</v>
      </c>
      <c r="E722" s="1" t="s">
        <v>6</v>
      </c>
      <c r="F722" s="7">
        <v>7.1999999999999995E-2</v>
      </c>
      <c r="G722" s="7">
        <v>0</v>
      </c>
      <c r="H722" s="7">
        <v>7.1999999999999995E-2</v>
      </c>
    </row>
    <row r="723" spans="1:8" ht="28.8" x14ac:dyDescent="0.3">
      <c r="A723" s="5">
        <v>522294</v>
      </c>
      <c r="B723" s="5" t="s">
        <v>765</v>
      </c>
      <c r="C723" s="6" t="s">
        <v>770</v>
      </c>
      <c r="D723" s="4" t="s">
        <v>5</v>
      </c>
      <c r="E723" s="1" t="s">
        <v>6</v>
      </c>
      <c r="F723" s="7">
        <v>7.1999999999999995E-2</v>
      </c>
      <c r="G723" s="7">
        <v>0</v>
      </c>
      <c r="H723" s="7">
        <v>7.1999999999999995E-2</v>
      </c>
    </row>
    <row r="724" spans="1:8" ht="28.8" x14ac:dyDescent="0.3">
      <c r="A724" s="5">
        <v>522298</v>
      </c>
      <c r="B724" s="5" t="s">
        <v>765</v>
      </c>
      <c r="C724" s="6" t="s">
        <v>771</v>
      </c>
      <c r="D724" s="4" t="s">
        <v>5</v>
      </c>
      <c r="E724" s="1" t="s">
        <v>6</v>
      </c>
      <c r="F724" s="7">
        <v>7.1999999999999995E-2</v>
      </c>
      <c r="G724" s="7">
        <v>0</v>
      </c>
      <c r="H724" s="7">
        <v>7.1999999999999995E-2</v>
      </c>
    </row>
    <row r="725" spans="1:8" ht="28.8" x14ac:dyDescent="0.3">
      <c r="A725" s="5">
        <v>522310</v>
      </c>
      <c r="B725" s="5" t="s">
        <v>765</v>
      </c>
      <c r="C725" s="6" t="s">
        <v>772</v>
      </c>
      <c r="D725" s="4" t="s">
        <v>5</v>
      </c>
      <c r="E725" s="1" t="s">
        <v>6</v>
      </c>
      <c r="F725" s="7">
        <v>7.1999999999999995E-2</v>
      </c>
      <c r="G725" s="7">
        <v>0</v>
      </c>
      <c r="H725" s="7">
        <v>7.1999999999999995E-2</v>
      </c>
    </row>
    <row r="726" spans="1:8" ht="28.8" x14ac:dyDescent="0.3">
      <c r="A726" s="5">
        <v>522320</v>
      </c>
      <c r="B726" s="5" t="s">
        <v>765</v>
      </c>
      <c r="C726" s="6" t="s">
        <v>773</v>
      </c>
      <c r="D726" s="4" t="s">
        <v>5</v>
      </c>
      <c r="E726" s="1" t="s">
        <v>6</v>
      </c>
      <c r="F726" s="7">
        <v>7.1999999999999995E-2</v>
      </c>
      <c r="G726" s="7">
        <v>0</v>
      </c>
      <c r="H726" s="7">
        <v>7.1999999999999995E-2</v>
      </c>
    </row>
    <row r="727" spans="1:8" ht="28.8" x14ac:dyDescent="0.3">
      <c r="A727" s="5">
        <v>522390</v>
      </c>
      <c r="B727" s="5" t="s">
        <v>765</v>
      </c>
      <c r="C727" s="6" t="s">
        <v>774</v>
      </c>
      <c r="D727" s="4" t="s">
        <v>5</v>
      </c>
      <c r="E727" s="1" t="s">
        <v>6</v>
      </c>
      <c r="F727" s="7">
        <v>7.1999999999999995E-2</v>
      </c>
      <c r="G727" s="7">
        <v>0</v>
      </c>
      <c r="H727" s="7">
        <v>7.1999999999999995E-2</v>
      </c>
    </row>
    <row r="728" spans="1:8" ht="28.8" x14ac:dyDescent="0.3">
      <c r="A728" s="5">
        <v>523110</v>
      </c>
      <c r="B728" s="5" t="s">
        <v>776</v>
      </c>
      <c r="C728" s="6" t="s">
        <v>775</v>
      </c>
      <c r="D728" s="4" t="s">
        <v>5</v>
      </c>
      <c r="E728" s="1" t="s">
        <v>6</v>
      </c>
      <c r="F728" s="7">
        <v>4.2999999999999997E-2</v>
      </c>
      <c r="G728" s="7">
        <v>0</v>
      </c>
      <c r="H728" s="7">
        <v>4.2999999999999997E-2</v>
      </c>
    </row>
    <row r="729" spans="1:8" ht="28.8" x14ac:dyDescent="0.3">
      <c r="A729" s="5">
        <v>523120</v>
      </c>
      <c r="B729" s="5" t="s">
        <v>776</v>
      </c>
      <c r="C729" s="6" t="s">
        <v>777</v>
      </c>
      <c r="D729" s="4" t="s">
        <v>5</v>
      </c>
      <c r="E729" s="1" t="s">
        <v>6</v>
      </c>
      <c r="F729" s="7">
        <v>4.2999999999999997E-2</v>
      </c>
      <c r="G729" s="7">
        <v>0</v>
      </c>
      <c r="H729" s="7">
        <v>4.2999999999999997E-2</v>
      </c>
    </row>
    <row r="730" spans="1:8" ht="28.8" x14ac:dyDescent="0.3">
      <c r="A730" s="5">
        <v>523130</v>
      </c>
      <c r="B730" s="5" t="s">
        <v>776</v>
      </c>
      <c r="C730" s="6" t="s">
        <v>778</v>
      </c>
      <c r="D730" s="4" t="s">
        <v>5</v>
      </c>
      <c r="E730" s="1" t="s">
        <v>6</v>
      </c>
      <c r="F730" s="7">
        <v>4.2999999999999997E-2</v>
      </c>
      <c r="G730" s="7">
        <v>0</v>
      </c>
      <c r="H730" s="7">
        <v>4.2999999999999997E-2</v>
      </c>
    </row>
    <row r="731" spans="1:8" ht="28.8" x14ac:dyDescent="0.3">
      <c r="A731" s="5">
        <v>523140</v>
      </c>
      <c r="B731" s="5" t="s">
        <v>776</v>
      </c>
      <c r="C731" s="6" t="s">
        <v>779</v>
      </c>
      <c r="D731" s="4" t="s">
        <v>5</v>
      </c>
      <c r="E731" s="1" t="s">
        <v>6</v>
      </c>
      <c r="F731" s="7">
        <v>4.2999999999999997E-2</v>
      </c>
      <c r="G731" s="7">
        <v>0</v>
      </c>
      <c r="H731" s="7">
        <v>4.2999999999999997E-2</v>
      </c>
    </row>
    <row r="732" spans="1:8" ht="28.8" x14ac:dyDescent="0.3">
      <c r="A732" s="5">
        <v>523210</v>
      </c>
      <c r="B732" s="5" t="s">
        <v>776</v>
      </c>
      <c r="C732" s="6" t="s">
        <v>780</v>
      </c>
      <c r="D732" s="4" t="s">
        <v>5</v>
      </c>
      <c r="E732" s="1" t="s">
        <v>6</v>
      </c>
      <c r="F732" s="7">
        <v>4.2999999999999997E-2</v>
      </c>
      <c r="G732" s="7">
        <v>0</v>
      </c>
      <c r="H732" s="7">
        <v>4.2999999999999997E-2</v>
      </c>
    </row>
    <row r="733" spans="1:8" ht="28.8" x14ac:dyDescent="0.3">
      <c r="A733" s="5">
        <v>523910</v>
      </c>
      <c r="B733" s="5">
        <v>523900</v>
      </c>
      <c r="C733" s="6" t="s">
        <v>781</v>
      </c>
      <c r="D733" s="4" t="s">
        <v>5</v>
      </c>
      <c r="E733" s="1" t="s">
        <v>6</v>
      </c>
      <c r="F733" s="7">
        <v>6.6000000000000003E-2</v>
      </c>
      <c r="G733" s="7">
        <v>0</v>
      </c>
      <c r="H733" s="7">
        <v>6.6000000000000003E-2</v>
      </c>
    </row>
    <row r="734" spans="1:8" ht="28.8" x14ac:dyDescent="0.3">
      <c r="A734" s="5">
        <v>523920</v>
      </c>
      <c r="B734" s="5">
        <v>523900</v>
      </c>
      <c r="C734" s="6" t="s">
        <v>782</v>
      </c>
      <c r="D734" s="4" t="s">
        <v>5</v>
      </c>
      <c r="E734" s="1" t="s">
        <v>6</v>
      </c>
      <c r="F734" s="7">
        <v>6.6000000000000003E-2</v>
      </c>
      <c r="G734" s="7">
        <v>0</v>
      </c>
      <c r="H734" s="7">
        <v>6.6000000000000003E-2</v>
      </c>
    </row>
    <row r="735" spans="1:8" ht="28.8" x14ac:dyDescent="0.3">
      <c r="A735" s="5">
        <v>523930</v>
      </c>
      <c r="B735" s="5">
        <v>523900</v>
      </c>
      <c r="C735" s="6" t="s">
        <v>783</v>
      </c>
      <c r="D735" s="4" t="s">
        <v>5</v>
      </c>
      <c r="E735" s="1" t="s">
        <v>6</v>
      </c>
      <c r="F735" s="7">
        <v>6.6000000000000003E-2</v>
      </c>
      <c r="G735" s="7">
        <v>0</v>
      </c>
      <c r="H735" s="7">
        <v>6.6000000000000003E-2</v>
      </c>
    </row>
    <row r="736" spans="1:8" ht="28.8" x14ac:dyDescent="0.3">
      <c r="A736" s="5">
        <v>523991</v>
      </c>
      <c r="B736" s="5">
        <v>523900</v>
      </c>
      <c r="C736" s="6" t="s">
        <v>784</v>
      </c>
      <c r="D736" s="4" t="s">
        <v>5</v>
      </c>
      <c r="E736" s="1" t="s">
        <v>6</v>
      </c>
      <c r="F736" s="7">
        <v>6.6000000000000003E-2</v>
      </c>
      <c r="G736" s="7">
        <v>0</v>
      </c>
      <c r="H736" s="7">
        <v>6.6000000000000003E-2</v>
      </c>
    </row>
    <row r="737" spans="1:8" ht="28.8" x14ac:dyDescent="0.3">
      <c r="A737" s="5">
        <v>523999</v>
      </c>
      <c r="B737" s="5">
        <v>523900</v>
      </c>
      <c r="C737" s="6" t="s">
        <v>785</v>
      </c>
      <c r="D737" s="4" t="s">
        <v>5</v>
      </c>
      <c r="E737" s="1" t="s">
        <v>6</v>
      </c>
      <c r="F737" s="7">
        <v>6.6000000000000003E-2</v>
      </c>
      <c r="G737" s="7">
        <v>0</v>
      </c>
      <c r="H737" s="7">
        <v>6.6000000000000003E-2</v>
      </c>
    </row>
    <row r="738" spans="1:8" ht="28.8" x14ac:dyDescent="0.3">
      <c r="A738" s="5">
        <v>524113</v>
      </c>
      <c r="B738" s="5">
        <v>524113</v>
      </c>
      <c r="C738" s="6" t="s">
        <v>786</v>
      </c>
      <c r="D738" s="4" t="s">
        <v>5</v>
      </c>
      <c r="E738" s="1" t="s">
        <v>6</v>
      </c>
      <c r="F738" s="7">
        <v>5.0999999999999997E-2</v>
      </c>
      <c r="G738" s="7">
        <v>0</v>
      </c>
      <c r="H738" s="7">
        <v>5.0999999999999997E-2</v>
      </c>
    </row>
    <row r="739" spans="1:8" ht="28.8" x14ac:dyDescent="0.3">
      <c r="A739" s="5">
        <v>524114</v>
      </c>
      <c r="B739" s="5" t="s">
        <v>788</v>
      </c>
      <c r="C739" s="6" t="s">
        <v>787</v>
      </c>
      <c r="D739" s="4" t="s">
        <v>5</v>
      </c>
      <c r="E739" s="1" t="s">
        <v>6</v>
      </c>
      <c r="F739" s="7">
        <v>3.3000000000000002E-2</v>
      </c>
      <c r="G739" s="7">
        <v>0</v>
      </c>
      <c r="H739" s="7">
        <v>3.3000000000000002E-2</v>
      </c>
    </row>
    <row r="740" spans="1:8" ht="28.8" x14ac:dyDescent="0.3">
      <c r="A740" s="5">
        <v>524126</v>
      </c>
      <c r="B740" s="5" t="s">
        <v>788</v>
      </c>
      <c r="C740" s="6" t="s">
        <v>789</v>
      </c>
      <c r="D740" s="4" t="s">
        <v>5</v>
      </c>
      <c r="E740" s="1" t="s">
        <v>6</v>
      </c>
      <c r="F740" s="7">
        <v>3.3000000000000002E-2</v>
      </c>
      <c r="G740" s="7">
        <v>0</v>
      </c>
      <c r="H740" s="7">
        <v>3.3000000000000002E-2</v>
      </c>
    </row>
    <row r="741" spans="1:8" ht="28.8" x14ac:dyDescent="0.3">
      <c r="A741" s="5">
        <v>524127</v>
      </c>
      <c r="B741" s="5" t="s">
        <v>788</v>
      </c>
      <c r="C741" s="6" t="s">
        <v>790</v>
      </c>
      <c r="D741" s="4" t="s">
        <v>5</v>
      </c>
      <c r="E741" s="1" t="s">
        <v>6</v>
      </c>
      <c r="F741" s="7">
        <v>3.3000000000000002E-2</v>
      </c>
      <c r="G741" s="7">
        <v>0</v>
      </c>
      <c r="H741" s="7">
        <v>3.3000000000000002E-2</v>
      </c>
    </row>
    <row r="742" spans="1:8" ht="28.8" x14ac:dyDescent="0.3">
      <c r="A742" s="5">
        <v>524128</v>
      </c>
      <c r="B742" s="5" t="s">
        <v>788</v>
      </c>
      <c r="C742" s="6" t="s">
        <v>791</v>
      </c>
      <c r="D742" s="4" t="s">
        <v>5</v>
      </c>
      <c r="E742" s="1" t="s">
        <v>6</v>
      </c>
      <c r="F742" s="7">
        <v>3.3000000000000002E-2</v>
      </c>
      <c r="G742" s="7">
        <v>0</v>
      </c>
      <c r="H742" s="7">
        <v>3.3000000000000002E-2</v>
      </c>
    </row>
    <row r="743" spans="1:8" ht="28.8" x14ac:dyDescent="0.3">
      <c r="A743" s="5">
        <v>524130</v>
      </c>
      <c r="B743" s="5" t="s">
        <v>788</v>
      </c>
      <c r="C743" s="6" t="s">
        <v>792</v>
      </c>
      <c r="D743" s="4" t="s">
        <v>5</v>
      </c>
      <c r="E743" s="1" t="s">
        <v>6</v>
      </c>
      <c r="F743" s="7">
        <v>3.3000000000000002E-2</v>
      </c>
      <c r="G743" s="7">
        <v>0</v>
      </c>
      <c r="H743" s="7">
        <v>3.3000000000000002E-2</v>
      </c>
    </row>
    <row r="744" spans="1:8" ht="28.8" x14ac:dyDescent="0.3">
      <c r="A744" s="5">
        <v>524210</v>
      </c>
      <c r="B744" s="5">
        <v>524200</v>
      </c>
      <c r="C744" s="6" t="s">
        <v>793</v>
      </c>
      <c r="D744" s="4" t="s">
        <v>5</v>
      </c>
      <c r="E744" s="1" t="s">
        <v>6</v>
      </c>
      <c r="F744" s="7">
        <v>2.9000000000000001E-2</v>
      </c>
      <c r="G744" s="7">
        <v>0</v>
      </c>
      <c r="H744" s="7">
        <v>2.9000000000000001E-2</v>
      </c>
    </row>
    <row r="745" spans="1:8" ht="28.8" x14ac:dyDescent="0.3">
      <c r="A745" s="5">
        <v>524291</v>
      </c>
      <c r="B745" s="5">
        <v>524200</v>
      </c>
      <c r="C745" s="6" t="s">
        <v>794</v>
      </c>
      <c r="D745" s="4" t="s">
        <v>5</v>
      </c>
      <c r="E745" s="1" t="s">
        <v>6</v>
      </c>
      <c r="F745" s="7">
        <v>2.9000000000000001E-2</v>
      </c>
      <c r="G745" s="7">
        <v>0</v>
      </c>
      <c r="H745" s="7">
        <v>2.9000000000000001E-2</v>
      </c>
    </row>
    <row r="746" spans="1:8" ht="28.8" x14ac:dyDescent="0.3">
      <c r="A746" s="5">
        <v>524292</v>
      </c>
      <c r="B746" s="5">
        <v>524200</v>
      </c>
      <c r="C746" s="6" t="s">
        <v>795</v>
      </c>
      <c r="D746" s="4" t="s">
        <v>5</v>
      </c>
      <c r="E746" s="1" t="s">
        <v>6</v>
      </c>
      <c r="F746" s="7">
        <v>2.9000000000000001E-2</v>
      </c>
      <c r="G746" s="7">
        <v>0</v>
      </c>
      <c r="H746" s="7">
        <v>2.9000000000000001E-2</v>
      </c>
    </row>
    <row r="747" spans="1:8" ht="28.8" x14ac:dyDescent="0.3">
      <c r="A747" s="5">
        <v>524298</v>
      </c>
      <c r="B747" s="5">
        <v>524200</v>
      </c>
      <c r="C747" s="6" t="s">
        <v>796</v>
      </c>
      <c r="D747" s="4" t="s">
        <v>5</v>
      </c>
      <c r="E747" s="1" t="s">
        <v>6</v>
      </c>
      <c r="F747" s="7">
        <v>2.9000000000000001E-2</v>
      </c>
      <c r="G747" s="7">
        <v>0</v>
      </c>
      <c r="H747" s="7">
        <v>2.9000000000000001E-2</v>
      </c>
    </row>
    <row r="748" spans="1:8" ht="28.8" x14ac:dyDescent="0.3">
      <c r="A748" s="5">
        <v>525110</v>
      </c>
      <c r="B748" s="5">
        <v>525000</v>
      </c>
      <c r="C748" s="6" t="s">
        <v>797</v>
      </c>
      <c r="D748" s="4" t="s">
        <v>5</v>
      </c>
      <c r="E748" s="1" t="s">
        <v>6</v>
      </c>
      <c r="F748" s="7">
        <v>0.218</v>
      </c>
      <c r="G748" s="7">
        <v>0</v>
      </c>
      <c r="H748" s="7">
        <v>0.218</v>
      </c>
    </row>
    <row r="749" spans="1:8" ht="28.8" x14ac:dyDescent="0.3">
      <c r="A749" s="5">
        <v>525120</v>
      </c>
      <c r="B749" s="5">
        <v>525000</v>
      </c>
      <c r="C749" s="6" t="s">
        <v>798</v>
      </c>
      <c r="D749" s="4" t="s">
        <v>5</v>
      </c>
      <c r="E749" s="1" t="s">
        <v>6</v>
      </c>
      <c r="F749" s="7">
        <v>0.218</v>
      </c>
      <c r="G749" s="7">
        <v>0</v>
      </c>
      <c r="H749" s="7">
        <v>0.218</v>
      </c>
    </row>
    <row r="750" spans="1:8" ht="28.8" x14ac:dyDescent="0.3">
      <c r="A750" s="5">
        <v>525190</v>
      </c>
      <c r="B750" s="5">
        <v>525000</v>
      </c>
      <c r="C750" s="6" t="s">
        <v>799</v>
      </c>
      <c r="D750" s="4" t="s">
        <v>5</v>
      </c>
      <c r="E750" s="1" t="s">
        <v>6</v>
      </c>
      <c r="F750" s="7">
        <v>0.218</v>
      </c>
      <c r="G750" s="7">
        <v>0</v>
      </c>
      <c r="H750" s="7">
        <v>0.218</v>
      </c>
    </row>
    <row r="751" spans="1:8" ht="28.8" x14ac:dyDescent="0.3">
      <c r="A751" s="5">
        <v>525910</v>
      </c>
      <c r="B751" s="5">
        <v>525000</v>
      </c>
      <c r="C751" s="6" t="s">
        <v>800</v>
      </c>
      <c r="D751" s="4" t="s">
        <v>5</v>
      </c>
      <c r="E751" s="1" t="s">
        <v>6</v>
      </c>
      <c r="F751" s="7">
        <v>0.218</v>
      </c>
      <c r="G751" s="7">
        <v>0</v>
      </c>
      <c r="H751" s="7">
        <v>0.218</v>
      </c>
    </row>
    <row r="752" spans="1:8" ht="28.8" x14ac:dyDescent="0.3">
      <c r="A752" s="5">
        <v>525920</v>
      </c>
      <c r="B752" s="5">
        <v>525000</v>
      </c>
      <c r="C752" s="6" t="s">
        <v>801</v>
      </c>
      <c r="D752" s="4" t="s">
        <v>5</v>
      </c>
      <c r="E752" s="1" t="s">
        <v>6</v>
      </c>
      <c r="F752" s="7">
        <v>0.218</v>
      </c>
      <c r="G752" s="7">
        <v>0</v>
      </c>
      <c r="H752" s="7">
        <v>0.218</v>
      </c>
    </row>
    <row r="753" spans="1:8" ht="28.8" x14ac:dyDescent="0.3">
      <c r="A753" s="5">
        <v>525990</v>
      </c>
      <c r="B753" s="5">
        <v>525000</v>
      </c>
      <c r="C753" s="6" t="s">
        <v>802</v>
      </c>
      <c r="D753" s="4" t="s">
        <v>5</v>
      </c>
      <c r="E753" s="1" t="s">
        <v>6</v>
      </c>
      <c r="F753" s="7">
        <v>0.218</v>
      </c>
      <c r="G753" s="7">
        <v>0</v>
      </c>
      <c r="H753" s="7">
        <v>0.218</v>
      </c>
    </row>
    <row r="754" spans="1:8" ht="28.8" x14ac:dyDescent="0.3">
      <c r="A754" s="5">
        <v>531110</v>
      </c>
      <c r="B754" s="5" t="s">
        <v>804</v>
      </c>
      <c r="C754" s="6" t="s">
        <v>803</v>
      </c>
      <c r="D754" s="4" t="s">
        <v>5</v>
      </c>
      <c r="E754" s="1" t="s">
        <v>6</v>
      </c>
      <c r="F754" s="7">
        <v>3.3000000000000002E-2</v>
      </c>
      <c r="G754" s="7">
        <v>0</v>
      </c>
      <c r="H754" s="7">
        <v>3.3000000000000002E-2</v>
      </c>
    </row>
    <row r="755" spans="1:8" ht="28.8" x14ac:dyDescent="0.3">
      <c r="A755" s="5">
        <v>531120</v>
      </c>
      <c r="B755" s="5" t="s">
        <v>806</v>
      </c>
      <c r="C755" s="6" t="s">
        <v>805</v>
      </c>
      <c r="D755" s="4" t="s">
        <v>5</v>
      </c>
      <c r="E755" s="1" t="s">
        <v>6</v>
      </c>
      <c r="F755" s="7">
        <v>0.246</v>
      </c>
      <c r="G755" s="7">
        <v>0</v>
      </c>
      <c r="H755" s="7">
        <v>0.246</v>
      </c>
    </row>
    <row r="756" spans="1:8" ht="28.8" x14ac:dyDescent="0.3">
      <c r="A756" s="5">
        <v>531130</v>
      </c>
      <c r="B756" s="5" t="s">
        <v>806</v>
      </c>
      <c r="C756" s="6" t="s">
        <v>807</v>
      </c>
      <c r="D756" s="4" t="s">
        <v>5</v>
      </c>
      <c r="E756" s="1" t="s">
        <v>6</v>
      </c>
      <c r="F756" s="7">
        <v>0.246</v>
      </c>
      <c r="G756" s="7">
        <v>0</v>
      </c>
      <c r="H756" s="7">
        <v>0.246</v>
      </c>
    </row>
    <row r="757" spans="1:8" ht="28.8" x14ac:dyDescent="0.3">
      <c r="A757" s="5">
        <v>531190</v>
      </c>
      <c r="B757" s="5" t="s">
        <v>806</v>
      </c>
      <c r="C757" s="6" t="s">
        <v>808</v>
      </c>
      <c r="D757" s="4" t="s">
        <v>5</v>
      </c>
      <c r="E757" s="1" t="s">
        <v>6</v>
      </c>
      <c r="F757" s="7">
        <v>0.246</v>
      </c>
      <c r="G757" s="7">
        <v>0</v>
      </c>
      <c r="H757" s="7">
        <v>0.246</v>
      </c>
    </row>
    <row r="758" spans="1:8" ht="28.8" x14ac:dyDescent="0.3">
      <c r="A758" s="5">
        <v>531210</v>
      </c>
      <c r="B758" s="5" t="s">
        <v>806</v>
      </c>
      <c r="C758" s="6" t="s">
        <v>809</v>
      </c>
      <c r="D758" s="4" t="s">
        <v>5</v>
      </c>
      <c r="E758" s="1" t="s">
        <v>6</v>
      </c>
      <c r="F758" s="7">
        <v>0.246</v>
      </c>
      <c r="G758" s="7">
        <v>0</v>
      </c>
      <c r="H758" s="7">
        <v>0.246</v>
      </c>
    </row>
    <row r="759" spans="1:8" ht="28.8" x14ac:dyDescent="0.3">
      <c r="A759" s="5">
        <v>531311</v>
      </c>
      <c r="B759" s="5" t="s">
        <v>806</v>
      </c>
      <c r="C759" s="6" t="s">
        <v>810</v>
      </c>
      <c r="D759" s="4" t="s">
        <v>5</v>
      </c>
      <c r="E759" s="1" t="s">
        <v>6</v>
      </c>
      <c r="F759" s="7">
        <v>0.246</v>
      </c>
      <c r="G759" s="7">
        <v>0</v>
      </c>
      <c r="H759" s="7">
        <v>0.246</v>
      </c>
    </row>
    <row r="760" spans="1:8" ht="28.8" x14ac:dyDescent="0.3">
      <c r="A760" s="5">
        <v>531312</v>
      </c>
      <c r="B760" s="5" t="s">
        <v>806</v>
      </c>
      <c r="C760" s="6" t="s">
        <v>811</v>
      </c>
      <c r="D760" s="4" t="s">
        <v>5</v>
      </c>
      <c r="E760" s="1" t="s">
        <v>6</v>
      </c>
      <c r="F760" s="7">
        <v>0.246</v>
      </c>
      <c r="G760" s="7">
        <v>0</v>
      </c>
      <c r="H760" s="7">
        <v>0.246</v>
      </c>
    </row>
    <row r="761" spans="1:8" ht="28.8" x14ac:dyDescent="0.3">
      <c r="A761" s="5">
        <v>531320</v>
      </c>
      <c r="B761" s="5" t="s">
        <v>806</v>
      </c>
      <c r="C761" s="6" t="s">
        <v>812</v>
      </c>
      <c r="D761" s="4" t="s">
        <v>5</v>
      </c>
      <c r="E761" s="1" t="s">
        <v>6</v>
      </c>
      <c r="F761" s="7">
        <v>0.246</v>
      </c>
      <c r="G761" s="7">
        <v>0</v>
      </c>
      <c r="H761" s="7">
        <v>0.246</v>
      </c>
    </row>
    <row r="762" spans="1:8" ht="28.8" x14ac:dyDescent="0.3">
      <c r="A762" s="5">
        <v>531390</v>
      </c>
      <c r="B762" s="5" t="s">
        <v>806</v>
      </c>
      <c r="C762" s="6" t="s">
        <v>813</v>
      </c>
      <c r="D762" s="4" t="s">
        <v>5</v>
      </c>
      <c r="E762" s="1" t="s">
        <v>6</v>
      </c>
      <c r="F762" s="7">
        <v>0.246</v>
      </c>
      <c r="G762" s="7">
        <v>0</v>
      </c>
      <c r="H762" s="7">
        <v>0.246</v>
      </c>
    </row>
    <row r="763" spans="1:8" ht="28.8" x14ac:dyDescent="0.3">
      <c r="A763" s="5">
        <v>532111</v>
      </c>
      <c r="B763" s="5">
        <v>532100</v>
      </c>
      <c r="C763" s="6" t="s">
        <v>814</v>
      </c>
      <c r="D763" s="4" t="s">
        <v>5</v>
      </c>
      <c r="E763" s="1" t="s">
        <v>6</v>
      </c>
      <c r="F763" s="7">
        <v>0.11</v>
      </c>
      <c r="G763" s="7">
        <v>0</v>
      </c>
      <c r="H763" s="7">
        <v>0.11</v>
      </c>
    </row>
    <row r="764" spans="1:8" ht="28.8" x14ac:dyDescent="0.3">
      <c r="A764" s="5">
        <v>532112</v>
      </c>
      <c r="B764" s="5">
        <v>532100</v>
      </c>
      <c r="C764" s="6" t="s">
        <v>815</v>
      </c>
      <c r="D764" s="4" t="s">
        <v>5</v>
      </c>
      <c r="E764" s="1" t="s">
        <v>6</v>
      </c>
      <c r="F764" s="7">
        <v>0.11</v>
      </c>
      <c r="G764" s="7">
        <v>0</v>
      </c>
      <c r="H764" s="7">
        <v>0.11</v>
      </c>
    </row>
    <row r="765" spans="1:8" ht="28.8" x14ac:dyDescent="0.3">
      <c r="A765" s="5">
        <v>532120</v>
      </c>
      <c r="B765" s="5">
        <v>532100</v>
      </c>
      <c r="C765" s="6" t="s">
        <v>816</v>
      </c>
      <c r="D765" s="4" t="s">
        <v>5</v>
      </c>
      <c r="E765" s="1" t="s">
        <v>6</v>
      </c>
      <c r="F765" s="7">
        <v>0.11</v>
      </c>
      <c r="G765" s="7">
        <v>0</v>
      </c>
      <c r="H765" s="7">
        <v>0.11</v>
      </c>
    </row>
    <row r="766" spans="1:8" ht="28.8" x14ac:dyDescent="0.3">
      <c r="A766" s="5">
        <v>532210</v>
      </c>
      <c r="B766" s="5" t="s">
        <v>818</v>
      </c>
      <c r="C766" s="6" t="s">
        <v>817</v>
      </c>
      <c r="D766" s="4" t="s">
        <v>5</v>
      </c>
      <c r="E766" s="1" t="s">
        <v>6</v>
      </c>
      <c r="F766" s="7">
        <v>0.10199999999999999</v>
      </c>
      <c r="G766" s="7">
        <v>0</v>
      </c>
      <c r="H766" s="7">
        <v>0.10199999999999999</v>
      </c>
    </row>
    <row r="767" spans="1:8" ht="28.8" x14ac:dyDescent="0.3">
      <c r="A767" s="5">
        <v>532281</v>
      </c>
      <c r="B767" s="5" t="s">
        <v>818</v>
      </c>
      <c r="C767" s="6" t="s">
        <v>819</v>
      </c>
      <c r="D767" s="4" t="s">
        <v>5</v>
      </c>
      <c r="E767" s="1" t="s">
        <v>6</v>
      </c>
      <c r="F767" s="7">
        <v>0.10199999999999999</v>
      </c>
      <c r="G767" s="7">
        <v>0</v>
      </c>
      <c r="H767" s="7">
        <v>0.10199999999999999</v>
      </c>
    </row>
    <row r="768" spans="1:8" ht="28.8" x14ac:dyDescent="0.3">
      <c r="A768" s="5">
        <v>532282</v>
      </c>
      <c r="B768" s="5" t="s">
        <v>818</v>
      </c>
      <c r="C768" s="6" t="s">
        <v>820</v>
      </c>
      <c r="D768" s="4" t="s">
        <v>5</v>
      </c>
      <c r="E768" s="1" t="s">
        <v>6</v>
      </c>
      <c r="F768" s="7">
        <v>0.10199999999999999</v>
      </c>
      <c r="G768" s="7">
        <v>0</v>
      </c>
      <c r="H768" s="7">
        <v>0.10199999999999999</v>
      </c>
    </row>
    <row r="769" spans="1:8" ht="28.8" x14ac:dyDescent="0.3">
      <c r="A769" s="5">
        <v>532283</v>
      </c>
      <c r="B769" s="5" t="s">
        <v>818</v>
      </c>
      <c r="C769" s="6" t="s">
        <v>821</v>
      </c>
      <c r="D769" s="4" t="s">
        <v>5</v>
      </c>
      <c r="E769" s="1" t="s">
        <v>6</v>
      </c>
      <c r="F769" s="7">
        <v>0.10199999999999999</v>
      </c>
      <c r="G769" s="7">
        <v>0</v>
      </c>
      <c r="H769" s="7">
        <v>0.10199999999999999</v>
      </c>
    </row>
    <row r="770" spans="1:8" ht="28.8" x14ac:dyDescent="0.3">
      <c r="A770" s="5">
        <v>532284</v>
      </c>
      <c r="B770" s="5" t="s">
        <v>818</v>
      </c>
      <c r="C770" s="6" t="s">
        <v>822</v>
      </c>
      <c r="D770" s="4" t="s">
        <v>5</v>
      </c>
      <c r="E770" s="1" t="s">
        <v>6</v>
      </c>
      <c r="F770" s="7">
        <v>0.10199999999999999</v>
      </c>
      <c r="G770" s="7">
        <v>0</v>
      </c>
      <c r="H770" s="7">
        <v>0.10199999999999999</v>
      </c>
    </row>
    <row r="771" spans="1:8" ht="28.8" x14ac:dyDescent="0.3">
      <c r="A771" s="5">
        <v>532289</v>
      </c>
      <c r="B771" s="5" t="s">
        <v>818</v>
      </c>
      <c r="C771" s="6" t="s">
        <v>823</v>
      </c>
      <c r="D771" s="4" t="s">
        <v>5</v>
      </c>
      <c r="E771" s="1" t="s">
        <v>6</v>
      </c>
      <c r="F771" s="7">
        <v>0.10199999999999999</v>
      </c>
      <c r="G771" s="7">
        <v>0</v>
      </c>
      <c r="H771" s="7">
        <v>0.10199999999999999</v>
      </c>
    </row>
    <row r="772" spans="1:8" ht="28.8" x14ac:dyDescent="0.3">
      <c r="A772" s="5">
        <v>532310</v>
      </c>
      <c r="B772" s="5" t="s">
        <v>818</v>
      </c>
      <c r="C772" s="6" t="s">
        <v>824</v>
      </c>
      <c r="D772" s="4" t="s">
        <v>5</v>
      </c>
      <c r="E772" s="1" t="s">
        <v>6</v>
      </c>
      <c r="F772" s="7">
        <v>0.10199999999999999</v>
      </c>
      <c r="G772" s="7">
        <v>0</v>
      </c>
      <c r="H772" s="7">
        <v>0.10199999999999999</v>
      </c>
    </row>
    <row r="773" spans="1:8" ht="43.2" x14ac:dyDescent="0.3">
      <c r="A773" s="5">
        <v>532411</v>
      </c>
      <c r="B773" s="5">
        <v>532400</v>
      </c>
      <c r="C773" s="6" t="s">
        <v>825</v>
      </c>
      <c r="D773" s="4" t="s">
        <v>5</v>
      </c>
      <c r="E773" s="1" t="s">
        <v>6</v>
      </c>
      <c r="F773" s="7">
        <v>0.106</v>
      </c>
      <c r="G773" s="7">
        <v>0</v>
      </c>
      <c r="H773" s="7">
        <v>0.106</v>
      </c>
    </row>
    <row r="774" spans="1:8" ht="43.2" x14ac:dyDescent="0.3">
      <c r="A774" s="5">
        <v>532412</v>
      </c>
      <c r="B774" s="5">
        <v>532400</v>
      </c>
      <c r="C774" s="6" t="s">
        <v>826</v>
      </c>
      <c r="D774" s="4" t="s">
        <v>5</v>
      </c>
      <c r="E774" s="1" t="s">
        <v>6</v>
      </c>
      <c r="F774" s="7">
        <v>0.106</v>
      </c>
      <c r="G774" s="7">
        <v>0</v>
      </c>
      <c r="H774" s="7">
        <v>0.106</v>
      </c>
    </row>
    <row r="775" spans="1:8" ht="28.8" x14ac:dyDescent="0.3">
      <c r="A775" s="5">
        <v>532420</v>
      </c>
      <c r="B775" s="5">
        <v>532400</v>
      </c>
      <c r="C775" s="6" t="s">
        <v>827</v>
      </c>
      <c r="D775" s="4" t="s">
        <v>5</v>
      </c>
      <c r="E775" s="1" t="s">
        <v>6</v>
      </c>
      <c r="F775" s="7">
        <v>0.106</v>
      </c>
      <c r="G775" s="7">
        <v>0</v>
      </c>
      <c r="H775" s="7">
        <v>0.106</v>
      </c>
    </row>
    <row r="776" spans="1:8" ht="43.2" x14ac:dyDescent="0.3">
      <c r="A776" s="5">
        <v>532490</v>
      </c>
      <c r="B776" s="5">
        <v>532400</v>
      </c>
      <c r="C776" s="6" t="s">
        <v>828</v>
      </c>
      <c r="D776" s="4" t="s">
        <v>5</v>
      </c>
      <c r="E776" s="1" t="s">
        <v>6</v>
      </c>
      <c r="F776" s="7">
        <v>0.106</v>
      </c>
      <c r="G776" s="7">
        <v>0</v>
      </c>
      <c r="H776" s="7">
        <v>0.106</v>
      </c>
    </row>
    <row r="777" spans="1:8" ht="28.8" x14ac:dyDescent="0.3">
      <c r="A777" s="5">
        <v>533110</v>
      </c>
      <c r="B777" s="5">
        <v>533000</v>
      </c>
      <c r="C777" s="6" t="s">
        <v>829</v>
      </c>
      <c r="D777" s="4" t="s">
        <v>5</v>
      </c>
      <c r="E777" s="1" t="s">
        <v>6</v>
      </c>
      <c r="F777" s="7">
        <v>5.1999999999999998E-2</v>
      </c>
      <c r="G777" s="7">
        <v>0</v>
      </c>
      <c r="H777" s="7">
        <v>5.1999999999999998E-2</v>
      </c>
    </row>
    <row r="778" spans="1:8" ht="28.8" x14ac:dyDescent="0.3">
      <c r="A778" s="5">
        <v>541110</v>
      </c>
      <c r="B778" s="5">
        <v>541100</v>
      </c>
      <c r="C778" s="6" t="s">
        <v>830</v>
      </c>
      <c r="D778" s="4" t="s">
        <v>5</v>
      </c>
      <c r="E778" s="1" t="s">
        <v>6</v>
      </c>
      <c r="F778" s="7">
        <v>4.1000000000000002E-2</v>
      </c>
      <c r="G778" s="7">
        <v>0</v>
      </c>
      <c r="H778" s="7">
        <v>4.1000000000000002E-2</v>
      </c>
    </row>
    <row r="779" spans="1:8" ht="28.8" x14ac:dyDescent="0.3">
      <c r="A779" s="5">
        <v>541120</v>
      </c>
      <c r="B779" s="5">
        <v>541100</v>
      </c>
      <c r="C779" s="6" t="s">
        <v>831</v>
      </c>
      <c r="D779" s="4" t="s">
        <v>5</v>
      </c>
      <c r="E779" s="1" t="s">
        <v>6</v>
      </c>
      <c r="F779" s="7">
        <v>4.1000000000000002E-2</v>
      </c>
      <c r="G779" s="7">
        <v>0</v>
      </c>
      <c r="H779" s="7">
        <v>4.1000000000000002E-2</v>
      </c>
    </row>
    <row r="780" spans="1:8" ht="28.8" x14ac:dyDescent="0.3">
      <c r="A780" s="5">
        <v>541191</v>
      </c>
      <c r="B780" s="5">
        <v>541100</v>
      </c>
      <c r="C780" s="6" t="s">
        <v>832</v>
      </c>
      <c r="D780" s="4" t="s">
        <v>5</v>
      </c>
      <c r="E780" s="1" t="s">
        <v>6</v>
      </c>
      <c r="F780" s="7">
        <v>4.1000000000000002E-2</v>
      </c>
      <c r="G780" s="7">
        <v>0</v>
      </c>
      <c r="H780" s="7">
        <v>4.1000000000000002E-2</v>
      </c>
    </row>
    <row r="781" spans="1:8" ht="28.8" x14ac:dyDescent="0.3">
      <c r="A781" s="5">
        <v>541199</v>
      </c>
      <c r="B781" s="5">
        <v>541100</v>
      </c>
      <c r="C781" s="6" t="s">
        <v>833</v>
      </c>
      <c r="D781" s="4" t="s">
        <v>5</v>
      </c>
      <c r="E781" s="1" t="s">
        <v>6</v>
      </c>
      <c r="F781" s="7">
        <v>4.1000000000000002E-2</v>
      </c>
      <c r="G781" s="7">
        <v>0</v>
      </c>
      <c r="H781" s="7">
        <v>4.1000000000000002E-2</v>
      </c>
    </row>
    <row r="782" spans="1:8" ht="28.8" x14ac:dyDescent="0.3">
      <c r="A782" s="5">
        <v>541211</v>
      </c>
      <c r="B782" s="5">
        <v>541200</v>
      </c>
      <c r="C782" s="6" t="s">
        <v>834</v>
      </c>
      <c r="D782" s="4" t="s">
        <v>5</v>
      </c>
      <c r="E782" s="1" t="s">
        <v>6</v>
      </c>
      <c r="F782" s="7">
        <v>5.3999999999999999E-2</v>
      </c>
      <c r="G782" s="7">
        <v>0</v>
      </c>
      <c r="H782" s="7">
        <v>5.3999999999999999E-2</v>
      </c>
    </row>
    <row r="783" spans="1:8" ht="28.8" x14ac:dyDescent="0.3">
      <c r="A783" s="5">
        <v>541213</v>
      </c>
      <c r="B783" s="5">
        <v>541200</v>
      </c>
      <c r="C783" s="6" t="s">
        <v>835</v>
      </c>
      <c r="D783" s="4" t="s">
        <v>5</v>
      </c>
      <c r="E783" s="1" t="s">
        <v>6</v>
      </c>
      <c r="F783" s="7">
        <v>5.3999999999999999E-2</v>
      </c>
      <c r="G783" s="7">
        <v>0</v>
      </c>
      <c r="H783" s="7">
        <v>5.3999999999999999E-2</v>
      </c>
    </row>
    <row r="784" spans="1:8" ht="28.8" x14ac:dyDescent="0.3">
      <c r="A784" s="5">
        <v>541214</v>
      </c>
      <c r="B784" s="5">
        <v>541200</v>
      </c>
      <c r="C784" s="6" t="s">
        <v>836</v>
      </c>
      <c r="D784" s="4" t="s">
        <v>5</v>
      </c>
      <c r="E784" s="1" t="s">
        <v>6</v>
      </c>
      <c r="F784" s="7">
        <v>5.3999999999999999E-2</v>
      </c>
      <c r="G784" s="7">
        <v>0</v>
      </c>
      <c r="H784" s="7">
        <v>5.3999999999999999E-2</v>
      </c>
    </row>
    <row r="785" spans="1:8" ht="28.8" x14ac:dyDescent="0.3">
      <c r="A785" s="5">
        <v>541219</v>
      </c>
      <c r="B785" s="5">
        <v>541200</v>
      </c>
      <c r="C785" s="6" t="s">
        <v>837</v>
      </c>
      <c r="D785" s="4" t="s">
        <v>5</v>
      </c>
      <c r="E785" s="1" t="s">
        <v>6</v>
      </c>
      <c r="F785" s="7">
        <v>5.3999999999999999E-2</v>
      </c>
      <c r="G785" s="7">
        <v>0</v>
      </c>
      <c r="H785" s="7">
        <v>5.3999999999999999E-2</v>
      </c>
    </row>
    <row r="786" spans="1:8" ht="28.8" x14ac:dyDescent="0.3">
      <c r="A786" s="5">
        <v>541310</v>
      </c>
      <c r="B786" s="5">
        <v>541300</v>
      </c>
      <c r="C786" s="6" t="s">
        <v>838</v>
      </c>
      <c r="D786" s="4" t="s">
        <v>5</v>
      </c>
      <c r="E786" s="1" t="s">
        <v>6</v>
      </c>
      <c r="F786" s="7">
        <v>0.10299999999999999</v>
      </c>
      <c r="G786" s="7">
        <v>0</v>
      </c>
      <c r="H786" s="7">
        <v>0.10299999999999999</v>
      </c>
    </row>
    <row r="787" spans="1:8" ht="28.8" x14ac:dyDescent="0.3">
      <c r="A787" s="5">
        <v>541320</v>
      </c>
      <c r="B787" s="5">
        <v>541300</v>
      </c>
      <c r="C787" s="6" t="s">
        <v>839</v>
      </c>
      <c r="D787" s="4" t="s">
        <v>5</v>
      </c>
      <c r="E787" s="1" t="s">
        <v>6</v>
      </c>
      <c r="F787" s="7">
        <v>0.10299999999999999</v>
      </c>
      <c r="G787" s="7">
        <v>0</v>
      </c>
      <c r="H787" s="7">
        <v>0.10299999999999999</v>
      </c>
    </row>
    <row r="788" spans="1:8" ht="28.8" x14ac:dyDescent="0.3">
      <c r="A788" s="5">
        <v>541330</v>
      </c>
      <c r="B788" s="5">
        <v>541300</v>
      </c>
      <c r="C788" s="6" t="s">
        <v>840</v>
      </c>
      <c r="D788" s="4" t="s">
        <v>5</v>
      </c>
      <c r="E788" s="1" t="s">
        <v>6</v>
      </c>
      <c r="F788" s="7">
        <v>0.10299999999999999</v>
      </c>
      <c r="G788" s="7">
        <v>0</v>
      </c>
      <c r="H788" s="7">
        <v>0.10299999999999999</v>
      </c>
    </row>
    <row r="789" spans="1:8" ht="28.8" x14ac:dyDescent="0.3">
      <c r="A789" s="5">
        <v>541340</v>
      </c>
      <c r="B789" s="5">
        <v>541300</v>
      </c>
      <c r="C789" s="6" t="s">
        <v>841</v>
      </c>
      <c r="D789" s="4" t="s">
        <v>5</v>
      </c>
      <c r="E789" s="1" t="s">
        <v>6</v>
      </c>
      <c r="F789" s="7">
        <v>0.10299999999999999</v>
      </c>
      <c r="G789" s="7">
        <v>0</v>
      </c>
      <c r="H789" s="7">
        <v>0.10299999999999999</v>
      </c>
    </row>
    <row r="790" spans="1:8" ht="28.8" x14ac:dyDescent="0.3">
      <c r="A790" s="5">
        <v>541350</v>
      </c>
      <c r="B790" s="5">
        <v>541300</v>
      </c>
      <c r="C790" s="6" t="s">
        <v>842</v>
      </c>
      <c r="D790" s="4" t="s">
        <v>5</v>
      </c>
      <c r="E790" s="1" t="s">
        <v>6</v>
      </c>
      <c r="F790" s="7">
        <v>0.10299999999999999</v>
      </c>
      <c r="G790" s="7">
        <v>0</v>
      </c>
      <c r="H790" s="7">
        <v>0.10299999999999999</v>
      </c>
    </row>
    <row r="791" spans="1:8" ht="28.8" x14ac:dyDescent="0.3">
      <c r="A791" s="5">
        <v>541360</v>
      </c>
      <c r="B791" s="5">
        <v>541300</v>
      </c>
      <c r="C791" s="6" t="s">
        <v>843</v>
      </c>
      <c r="D791" s="4" t="s">
        <v>5</v>
      </c>
      <c r="E791" s="1" t="s">
        <v>6</v>
      </c>
      <c r="F791" s="7">
        <v>0.10299999999999999</v>
      </c>
      <c r="G791" s="7">
        <v>0</v>
      </c>
      <c r="H791" s="7">
        <v>0.10299999999999999</v>
      </c>
    </row>
    <row r="792" spans="1:8" ht="28.8" x14ac:dyDescent="0.3">
      <c r="A792" s="5">
        <v>541370</v>
      </c>
      <c r="B792" s="5">
        <v>541300</v>
      </c>
      <c r="C792" s="6" t="s">
        <v>844</v>
      </c>
      <c r="D792" s="4" t="s">
        <v>5</v>
      </c>
      <c r="E792" s="1" t="s">
        <v>6</v>
      </c>
      <c r="F792" s="7">
        <v>0.10299999999999999</v>
      </c>
      <c r="G792" s="7">
        <v>0</v>
      </c>
      <c r="H792" s="7">
        <v>0.10299999999999999</v>
      </c>
    </row>
    <row r="793" spans="1:8" ht="28.8" x14ac:dyDescent="0.3">
      <c r="A793" s="5">
        <v>541380</v>
      </c>
      <c r="B793" s="5">
        <v>541300</v>
      </c>
      <c r="C793" s="6" t="s">
        <v>845</v>
      </c>
      <c r="D793" s="4" t="s">
        <v>5</v>
      </c>
      <c r="E793" s="1" t="s">
        <v>6</v>
      </c>
      <c r="F793" s="7">
        <v>0.10299999999999999</v>
      </c>
      <c r="G793" s="7">
        <v>0</v>
      </c>
      <c r="H793" s="7">
        <v>0.10299999999999999</v>
      </c>
    </row>
    <row r="794" spans="1:8" ht="28.8" x14ac:dyDescent="0.3">
      <c r="A794" s="5">
        <v>541410</v>
      </c>
      <c r="B794" s="5">
        <v>541400</v>
      </c>
      <c r="C794" s="6" t="s">
        <v>846</v>
      </c>
      <c r="D794" s="4" t="s">
        <v>5</v>
      </c>
      <c r="E794" s="1" t="s">
        <v>6</v>
      </c>
      <c r="F794" s="7">
        <v>9.4E-2</v>
      </c>
      <c r="G794" s="7">
        <v>0</v>
      </c>
      <c r="H794" s="7">
        <v>9.4E-2</v>
      </c>
    </row>
    <row r="795" spans="1:8" ht="28.8" x14ac:dyDescent="0.3">
      <c r="A795" s="5">
        <v>541420</v>
      </c>
      <c r="B795" s="5">
        <v>541400</v>
      </c>
      <c r="C795" s="6" t="s">
        <v>847</v>
      </c>
      <c r="D795" s="4" t="s">
        <v>5</v>
      </c>
      <c r="E795" s="1" t="s">
        <v>6</v>
      </c>
      <c r="F795" s="7">
        <v>9.4E-2</v>
      </c>
      <c r="G795" s="7">
        <v>0</v>
      </c>
      <c r="H795" s="7">
        <v>9.4E-2</v>
      </c>
    </row>
    <row r="796" spans="1:8" ht="28.8" x14ac:dyDescent="0.3">
      <c r="A796" s="5">
        <v>541430</v>
      </c>
      <c r="B796" s="5">
        <v>541400</v>
      </c>
      <c r="C796" s="6" t="s">
        <v>848</v>
      </c>
      <c r="D796" s="4" t="s">
        <v>5</v>
      </c>
      <c r="E796" s="1" t="s">
        <v>6</v>
      </c>
      <c r="F796" s="7">
        <v>9.4E-2</v>
      </c>
      <c r="G796" s="7">
        <v>0</v>
      </c>
      <c r="H796" s="7">
        <v>9.4E-2</v>
      </c>
    </row>
    <row r="797" spans="1:8" ht="28.8" x14ac:dyDescent="0.3">
      <c r="A797" s="5">
        <v>541490</v>
      </c>
      <c r="B797" s="5">
        <v>541400</v>
      </c>
      <c r="C797" s="6" t="s">
        <v>849</v>
      </c>
      <c r="D797" s="4" t="s">
        <v>5</v>
      </c>
      <c r="E797" s="1" t="s">
        <v>6</v>
      </c>
      <c r="F797" s="7">
        <v>9.4E-2</v>
      </c>
      <c r="G797" s="7">
        <v>0</v>
      </c>
      <c r="H797" s="7">
        <v>9.4E-2</v>
      </c>
    </row>
    <row r="798" spans="1:8" ht="28.8" x14ac:dyDescent="0.3">
      <c r="A798" s="5">
        <v>541511</v>
      </c>
      <c r="B798" s="5">
        <v>541511</v>
      </c>
      <c r="C798" s="6" t="s">
        <v>850</v>
      </c>
      <c r="D798" s="4" t="s">
        <v>5</v>
      </c>
      <c r="E798" s="1" t="s">
        <v>6</v>
      </c>
      <c r="F798" s="7">
        <v>8.4000000000000005E-2</v>
      </c>
      <c r="G798" s="7">
        <v>0</v>
      </c>
      <c r="H798" s="7">
        <v>8.4000000000000005E-2</v>
      </c>
    </row>
    <row r="799" spans="1:8" ht="28.8" x14ac:dyDescent="0.3">
      <c r="A799" s="5">
        <v>541512</v>
      </c>
      <c r="B799" s="5">
        <v>541512</v>
      </c>
      <c r="C799" s="6" t="s">
        <v>851</v>
      </c>
      <c r="D799" s="4" t="s">
        <v>5</v>
      </c>
      <c r="E799" s="1" t="s">
        <v>6</v>
      </c>
      <c r="F799" s="7">
        <v>8.8999999999999996E-2</v>
      </c>
      <c r="G799" s="7">
        <v>0</v>
      </c>
      <c r="H799" s="7">
        <v>8.8999999999999996E-2</v>
      </c>
    </row>
    <row r="800" spans="1:8" ht="28.8" x14ac:dyDescent="0.3">
      <c r="A800" s="5">
        <v>541513</v>
      </c>
      <c r="B800" s="5" t="s">
        <v>853</v>
      </c>
      <c r="C800" s="6" t="s">
        <v>852</v>
      </c>
      <c r="D800" s="4" t="s">
        <v>5</v>
      </c>
      <c r="E800" s="1" t="s">
        <v>6</v>
      </c>
      <c r="F800" s="7">
        <v>0.08</v>
      </c>
      <c r="G800" s="7">
        <v>0</v>
      </c>
      <c r="H800" s="7">
        <v>0.08</v>
      </c>
    </row>
    <row r="801" spans="1:8" ht="28.8" x14ac:dyDescent="0.3">
      <c r="A801" s="5">
        <v>541519</v>
      </c>
      <c r="B801" s="5" t="s">
        <v>853</v>
      </c>
      <c r="C801" s="6" t="s">
        <v>854</v>
      </c>
      <c r="D801" s="4" t="s">
        <v>5</v>
      </c>
      <c r="E801" s="1" t="s">
        <v>6</v>
      </c>
      <c r="F801" s="7">
        <v>0.08</v>
      </c>
      <c r="G801" s="7">
        <v>0</v>
      </c>
      <c r="H801" s="7">
        <v>0.08</v>
      </c>
    </row>
    <row r="802" spans="1:8" ht="28.8" x14ac:dyDescent="0.3">
      <c r="A802" s="5">
        <v>541611</v>
      </c>
      <c r="B802" s="5">
        <v>541610</v>
      </c>
      <c r="C802" s="6" t="s">
        <v>855</v>
      </c>
      <c r="D802" s="4" t="s">
        <v>5</v>
      </c>
      <c r="E802" s="1" t="s">
        <v>6</v>
      </c>
      <c r="F802" s="7">
        <v>7.8E-2</v>
      </c>
      <c r="G802" s="7">
        <v>0</v>
      </c>
      <c r="H802" s="7">
        <v>7.8E-2</v>
      </c>
    </row>
    <row r="803" spans="1:8" ht="28.8" x14ac:dyDescent="0.3">
      <c r="A803" s="5">
        <v>541612</v>
      </c>
      <c r="B803" s="5">
        <v>541610</v>
      </c>
      <c r="C803" s="6" t="s">
        <v>856</v>
      </c>
      <c r="D803" s="4" t="s">
        <v>5</v>
      </c>
      <c r="E803" s="1" t="s">
        <v>6</v>
      </c>
      <c r="F803" s="7">
        <v>7.8E-2</v>
      </c>
      <c r="G803" s="7">
        <v>0</v>
      </c>
      <c r="H803" s="7">
        <v>7.8E-2</v>
      </c>
    </row>
    <row r="804" spans="1:8" ht="28.8" x14ac:dyDescent="0.3">
      <c r="A804" s="5">
        <v>541613</v>
      </c>
      <c r="B804" s="5">
        <v>541610</v>
      </c>
      <c r="C804" s="6" t="s">
        <v>857</v>
      </c>
      <c r="D804" s="4" t="s">
        <v>5</v>
      </c>
      <c r="E804" s="1" t="s">
        <v>6</v>
      </c>
      <c r="F804" s="7">
        <v>7.8E-2</v>
      </c>
      <c r="G804" s="7">
        <v>0</v>
      </c>
      <c r="H804" s="7">
        <v>7.8E-2</v>
      </c>
    </row>
    <row r="805" spans="1:8" ht="28.8" x14ac:dyDescent="0.3">
      <c r="A805" s="5">
        <v>541614</v>
      </c>
      <c r="B805" s="5">
        <v>541610</v>
      </c>
      <c r="C805" s="6" t="s">
        <v>858</v>
      </c>
      <c r="D805" s="4" t="s">
        <v>5</v>
      </c>
      <c r="E805" s="1" t="s">
        <v>6</v>
      </c>
      <c r="F805" s="7">
        <v>7.8E-2</v>
      </c>
      <c r="G805" s="7">
        <v>0</v>
      </c>
      <c r="H805" s="7">
        <v>7.8E-2</v>
      </c>
    </row>
    <row r="806" spans="1:8" ht="28.8" x14ac:dyDescent="0.3">
      <c r="A806" s="5">
        <v>541618</v>
      </c>
      <c r="B806" s="5">
        <v>541610</v>
      </c>
      <c r="C806" s="6" t="s">
        <v>859</v>
      </c>
      <c r="D806" s="4" t="s">
        <v>5</v>
      </c>
      <c r="E806" s="1" t="s">
        <v>6</v>
      </c>
      <c r="F806" s="7">
        <v>7.8E-2</v>
      </c>
      <c r="G806" s="7">
        <v>0</v>
      </c>
      <c r="H806" s="7">
        <v>7.8E-2</v>
      </c>
    </row>
    <row r="807" spans="1:8" ht="28.8" x14ac:dyDescent="0.3">
      <c r="A807" s="5">
        <v>541620</v>
      </c>
      <c r="B807" s="5" t="s">
        <v>861</v>
      </c>
      <c r="C807" s="6" t="s">
        <v>860</v>
      </c>
      <c r="D807" s="4" t="s">
        <v>5</v>
      </c>
      <c r="E807" s="1" t="s">
        <v>6</v>
      </c>
      <c r="F807" s="7">
        <v>0.09</v>
      </c>
      <c r="G807" s="7">
        <v>0</v>
      </c>
      <c r="H807" s="7">
        <v>0.09</v>
      </c>
    </row>
    <row r="808" spans="1:8" ht="28.8" x14ac:dyDescent="0.3">
      <c r="A808" s="5">
        <v>541690</v>
      </c>
      <c r="B808" s="5" t="s">
        <v>861</v>
      </c>
      <c r="C808" s="6" t="s">
        <v>862</v>
      </c>
      <c r="D808" s="4" t="s">
        <v>5</v>
      </c>
      <c r="E808" s="1" t="s">
        <v>6</v>
      </c>
      <c r="F808" s="7">
        <v>0.09</v>
      </c>
      <c r="G808" s="7">
        <v>0</v>
      </c>
      <c r="H808" s="7">
        <v>0.09</v>
      </c>
    </row>
    <row r="809" spans="1:8" ht="28.8" x14ac:dyDescent="0.3">
      <c r="A809" s="5">
        <v>541713</v>
      </c>
      <c r="B809" s="5">
        <v>541700</v>
      </c>
      <c r="C809" s="6" t="s">
        <v>863</v>
      </c>
      <c r="D809" s="4" t="s">
        <v>5</v>
      </c>
      <c r="E809" s="1" t="s">
        <v>6</v>
      </c>
      <c r="F809" s="7">
        <v>0.156</v>
      </c>
      <c r="G809" s="7">
        <v>0</v>
      </c>
      <c r="H809" s="7">
        <v>0.156</v>
      </c>
    </row>
    <row r="810" spans="1:8" ht="43.2" x14ac:dyDescent="0.3">
      <c r="A810" s="5">
        <v>541714</v>
      </c>
      <c r="B810" s="5">
        <v>541700</v>
      </c>
      <c r="C810" s="6" t="s">
        <v>864</v>
      </c>
      <c r="D810" s="4" t="s">
        <v>5</v>
      </c>
      <c r="E810" s="1" t="s">
        <v>6</v>
      </c>
      <c r="F810" s="7">
        <v>0.156</v>
      </c>
      <c r="G810" s="7">
        <v>0</v>
      </c>
      <c r="H810" s="7">
        <v>0.156</v>
      </c>
    </row>
    <row r="811" spans="1:8" ht="43.2" x14ac:dyDescent="0.3">
      <c r="A811" s="5">
        <v>541715</v>
      </c>
      <c r="B811" s="5">
        <v>541700</v>
      </c>
      <c r="C811" s="6" t="s">
        <v>865</v>
      </c>
      <c r="D811" s="4" t="s">
        <v>5</v>
      </c>
      <c r="E811" s="1" t="s">
        <v>6</v>
      </c>
      <c r="F811" s="7">
        <v>0.156</v>
      </c>
      <c r="G811" s="7">
        <v>0</v>
      </c>
      <c r="H811" s="7">
        <v>0.156</v>
      </c>
    </row>
    <row r="812" spans="1:8" ht="28.8" x14ac:dyDescent="0.3">
      <c r="A812" s="5">
        <v>541720</v>
      </c>
      <c r="B812" s="5">
        <v>541700</v>
      </c>
      <c r="C812" s="6" t="s">
        <v>866</v>
      </c>
      <c r="D812" s="4" t="s">
        <v>5</v>
      </c>
      <c r="E812" s="1" t="s">
        <v>6</v>
      </c>
      <c r="F812" s="7">
        <v>0.156</v>
      </c>
      <c r="G812" s="7">
        <v>0</v>
      </c>
      <c r="H812" s="7">
        <v>0.156</v>
      </c>
    </row>
    <row r="813" spans="1:8" ht="28.8" x14ac:dyDescent="0.3">
      <c r="A813" s="5">
        <v>541810</v>
      </c>
      <c r="B813" s="5">
        <v>541800</v>
      </c>
      <c r="C813" s="6" t="s">
        <v>867</v>
      </c>
      <c r="D813" s="4" t="s">
        <v>5</v>
      </c>
      <c r="E813" s="1" t="s">
        <v>6</v>
      </c>
      <c r="F813" s="7">
        <v>8.5000000000000006E-2</v>
      </c>
      <c r="G813" s="7">
        <v>0</v>
      </c>
      <c r="H813" s="7">
        <v>8.5000000000000006E-2</v>
      </c>
    </row>
    <row r="814" spans="1:8" ht="28.8" x14ac:dyDescent="0.3">
      <c r="A814" s="5">
        <v>541820</v>
      </c>
      <c r="B814" s="5">
        <v>541800</v>
      </c>
      <c r="C814" s="6" t="s">
        <v>868</v>
      </c>
      <c r="D814" s="4" t="s">
        <v>5</v>
      </c>
      <c r="E814" s="1" t="s">
        <v>6</v>
      </c>
      <c r="F814" s="7">
        <v>8.5000000000000006E-2</v>
      </c>
      <c r="G814" s="7">
        <v>0</v>
      </c>
      <c r="H814" s="7">
        <v>8.5000000000000006E-2</v>
      </c>
    </row>
    <row r="815" spans="1:8" ht="28.8" x14ac:dyDescent="0.3">
      <c r="A815" s="5">
        <v>541830</v>
      </c>
      <c r="B815" s="5">
        <v>541800</v>
      </c>
      <c r="C815" s="6" t="s">
        <v>869</v>
      </c>
      <c r="D815" s="4" t="s">
        <v>5</v>
      </c>
      <c r="E815" s="1" t="s">
        <v>6</v>
      </c>
      <c r="F815" s="7">
        <v>8.5000000000000006E-2</v>
      </c>
      <c r="G815" s="7">
        <v>0</v>
      </c>
      <c r="H815" s="7">
        <v>8.5000000000000006E-2</v>
      </c>
    </row>
    <row r="816" spans="1:8" ht="28.8" x14ac:dyDescent="0.3">
      <c r="A816" s="5">
        <v>541840</v>
      </c>
      <c r="B816" s="5">
        <v>541800</v>
      </c>
      <c r="C816" s="6" t="s">
        <v>870</v>
      </c>
      <c r="D816" s="4" t="s">
        <v>5</v>
      </c>
      <c r="E816" s="1" t="s">
        <v>6</v>
      </c>
      <c r="F816" s="7">
        <v>8.5000000000000006E-2</v>
      </c>
      <c r="G816" s="7">
        <v>0</v>
      </c>
      <c r="H816" s="7">
        <v>8.5000000000000006E-2</v>
      </c>
    </row>
    <row r="817" spans="1:8" ht="28.8" x14ac:dyDescent="0.3">
      <c r="A817" s="5">
        <v>541850</v>
      </c>
      <c r="B817" s="5">
        <v>541800</v>
      </c>
      <c r="C817" s="6" t="s">
        <v>871</v>
      </c>
      <c r="D817" s="4" t="s">
        <v>5</v>
      </c>
      <c r="E817" s="1" t="s">
        <v>6</v>
      </c>
      <c r="F817" s="7">
        <v>8.5000000000000006E-2</v>
      </c>
      <c r="G817" s="7">
        <v>0</v>
      </c>
      <c r="H817" s="7">
        <v>8.5000000000000006E-2</v>
      </c>
    </row>
    <row r="818" spans="1:8" ht="28.8" x14ac:dyDescent="0.3">
      <c r="A818" s="5">
        <v>541860</v>
      </c>
      <c r="B818" s="5">
        <v>541800</v>
      </c>
      <c r="C818" s="6" t="s">
        <v>872</v>
      </c>
      <c r="D818" s="4" t="s">
        <v>5</v>
      </c>
      <c r="E818" s="1" t="s">
        <v>6</v>
      </c>
      <c r="F818" s="7">
        <v>8.5000000000000006E-2</v>
      </c>
      <c r="G818" s="7">
        <v>0</v>
      </c>
      <c r="H818" s="7">
        <v>8.5000000000000006E-2</v>
      </c>
    </row>
    <row r="819" spans="1:8" ht="28.8" x14ac:dyDescent="0.3">
      <c r="A819" s="5">
        <v>541870</v>
      </c>
      <c r="B819" s="5">
        <v>541800</v>
      </c>
      <c r="C819" s="6" t="s">
        <v>873</v>
      </c>
      <c r="D819" s="4" t="s">
        <v>5</v>
      </c>
      <c r="E819" s="1" t="s">
        <v>6</v>
      </c>
      <c r="F819" s="7">
        <v>8.5000000000000006E-2</v>
      </c>
      <c r="G819" s="7">
        <v>0</v>
      </c>
      <c r="H819" s="7">
        <v>8.5000000000000006E-2</v>
      </c>
    </row>
    <row r="820" spans="1:8" ht="28.8" x14ac:dyDescent="0.3">
      <c r="A820" s="5">
        <v>541890</v>
      </c>
      <c r="B820" s="5">
        <v>541800</v>
      </c>
      <c r="C820" s="6" t="s">
        <v>874</v>
      </c>
      <c r="D820" s="4" t="s">
        <v>5</v>
      </c>
      <c r="E820" s="1" t="s">
        <v>6</v>
      </c>
      <c r="F820" s="7">
        <v>8.5000000000000006E-2</v>
      </c>
      <c r="G820" s="7">
        <v>0</v>
      </c>
      <c r="H820" s="7">
        <v>8.5000000000000006E-2</v>
      </c>
    </row>
    <row r="821" spans="1:8" ht="28.8" x14ac:dyDescent="0.3">
      <c r="A821" s="5">
        <v>541910</v>
      </c>
      <c r="B821" s="5" t="s">
        <v>876</v>
      </c>
      <c r="C821" s="6" t="s">
        <v>875</v>
      </c>
      <c r="D821" s="4" t="s">
        <v>5</v>
      </c>
      <c r="E821" s="1" t="s">
        <v>6</v>
      </c>
      <c r="F821" s="7">
        <v>0.08</v>
      </c>
      <c r="G821" s="7">
        <v>0</v>
      </c>
      <c r="H821" s="7">
        <v>0.08</v>
      </c>
    </row>
    <row r="822" spans="1:8" ht="28.8" x14ac:dyDescent="0.3">
      <c r="A822" s="5">
        <v>541921</v>
      </c>
      <c r="B822" s="5">
        <v>541920</v>
      </c>
      <c r="C822" s="6" t="s">
        <v>877</v>
      </c>
      <c r="D822" s="4" t="s">
        <v>5</v>
      </c>
      <c r="E822" s="1" t="s">
        <v>6</v>
      </c>
      <c r="F822" s="7">
        <v>0.125</v>
      </c>
      <c r="G822" s="7">
        <v>0</v>
      </c>
      <c r="H822" s="7">
        <v>0.125</v>
      </c>
    </row>
    <row r="823" spans="1:8" ht="28.8" x14ac:dyDescent="0.3">
      <c r="A823" s="5">
        <v>541922</v>
      </c>
      <c r="B823" s="5">
        <v>541920</v>
      </c>
      <c r="C823" s="6" t="s">
        <v>878</v>
      </c>
      <c r="D823" s="4" t="s">
        <v>5</v>
      </c>
      <c r="E823" s="1" t="s">
        <v>6</v>
      </c>
      <c r="F823" s="7">
        <v>0.125</v>
      </c>
      <c r="G823" s="7">
        <v>0</v>
      </c>
      <c r="H823" s="7">
        <v>0.125</v>
      </c>
    </row>
    <row r="824" spans="1:8" ht="28.8" x14ac:dyDescent="0.3">
      <c r="A824" s="5">
        <v>541930</v>
      </c>
      <c r="B824" s="5" t="s">
        <v>876</v>
      </c>
      <c r="C824" s="6" t="s">
        <v>879</v>
      </c>
      <c r="D824" s="4" t="s">
        <v>5</v>
      </c>
      <c r="E824" s="1" t="s">
        <v>6</v>
      </c>
      <c r="F824" s="7">
        <v>0.08</v>
      </c>
      <c r="G824" s="7">
        <v>0</v>
      </c>
      <c r="H824" s="7">
        <v>0.08</v>
      </c>
    </row>
    <row r="825" spans="1:8" ht="28.8" x14ac:dyDescent="0.3">
      <c r="A825" s="5">
        <v>541940</v>
      </c>
      <c r="B825" s="5">
        <v>541940</v>
      </c>
      <c r="C825" s="6" t="s">
        <v>880</v>
      </c>
      <c r="D825" s="4" t="s">
        <v>5</v>
      </c>
      <c r="E825" s="1" t="s">
        <v>6</v>
      </c>
      <c r="F825" s="7">
        <v>0.127</v>
      </c>
      <c r="G825" s="7">
        <v>0</v>
      </c>
      <c r="H825" s="7">
        <v>0.127</v>
      </c>
    </row>
    <row r="826" spans="1:8" ht="28.8" x14ac:dyDescent="0.3">
      <c r="A826" s="5">
        <v>541990</v>
      </c>
      <c r="B826" s="5" t="s">
        <v>876</v>
      </c>
      <c r="C826" s="6" t="s">
        <v>881</v>
      </c>
      <c r="D826" s="4" t="s">
        <v>5</v>
      </c>
      <c r="E826" s="1" t="s">
        <v>6</v>
      </c>
      <c r="F826" s="7">
        <v>0.08</v>
      </c>
      <c r="G826" s="7">
        <v>0</v>
      </c>
      <c r="H826" s="7">
        <v>0.08</v>
      </c>
    </row>
    <row r="827" spans="1:8" ht="28.8" x14ac:dyDescent="0.3">
      <c r="A827" s="5">
        <v>551111</v>
      </c>
      <c r="B827" s="5">
        <v>550000</v>
      </c>
      <c r="C827" s="6" t="s">
        <v>882</v>
      </c>
      <c r="D827" s="4" t="s">
        <v>5</v>
      </c>
      <c r="E827" s="1" t="s">
        <v>6</v>
      </c>
      <c r="F827" s="7">
        <v>8.4000000000000005E-2</v>
      </c>
      <c r="G827" s="7">
        <v>0</v>
      </c>
      <c r="H827" s="7">
        <v>8.4000000000000005E-2</v>
      </c>
    </row>
    <row r="828" spans="1:8" ht="28.8" x14ac:dyDescent="0.3">
      <c r="A828" s="5">
        <v>551112</v>
      </c>
      <c r="B828" s="5">
        <v>550000</v>
      </c>
      <c r="C828" s="6" t="s">
        <v>883</v>
      </c>
      <c r="D828" s="4" t="s">
        <v>5</v>
      </c>
      <c r="E828" s="1" t="s">
        <v>6</v>
      </c>
      <c r="F828" s="7">
        <v>8.4000000000000005E-2</v>
      </c>
      <c r="G828" s="7">
        <v>0</v>
      </c>
      <c r="H828" s="7">
        <v>8.4000000000000005E-2</v>
      </c>
    </row>
    <row r="829" spans="1:8" ht="28.8" x14ac:dyDescent="0.3">
      <c r="A829" s="5">
        <v>551114</v>
      </c>
      <c r="B829" s="5">
        <v>550000</v>
      </c>
      <c r="C829" s="6" t="s">
        <v>884</v>
      </c>
      <c r="D829" s="4" t="s">
        <v>5</v>
      </c>
      <c r="E829" s="1" t="s">
        <v>6</v>
      </c>
      <c r="F829" s="7">
        <v>8.4000000000000005E-2</v>
      </c>
      <c r="G829" s="7">
        <v>0</v>
      </c>
      <c r="H829" s="7">
        <v>8.4000000000000005E-2</v>
      </c>
    </row>
    <row r="830" spans="1:8" ht="28.8" x14ac:dyDescent="0.3">
      <c r="A830" s="5">
        <v>561110</v>
      </c>
      <c r="B830" s="5">
        <v>561100</v>
      </c>
      <c r="C830" s="6" t="s">
        <v>885</v>
      </c>
      <c r="D830" s="4" t="s">
        <v>5</v>
      </c>
      <c r="E830" s="1" t="s">
        <v>6</v>
      </c>
      <c r="F830" s="7">
        <v>0.1</v>
      </c>
      <c r="G830" s="7">
        <v>0</v>
      </c>
      <c r="H830" s="7">
        <v>0.1</v>
      </c>
    </row>
    <row r="831" spans="1:8" ht="28.8" x14ac:dyDescent="0.3">
      <c r="A831" s="5">
        <v>561210</v>
      </c>
      <c r="B831" s="5">
        <v>561200</v>
      </c>
      <c r="C831" s="6" t="s">
        <v>886</v>
      </c>
      <c r="D831" s="4" t="s">
        <v>5</v>
      </c>
      <c r="E831" s="1" t="s">
        <v>6</v>
      </c>
      <c r="F831" s="7">
        <v>0.19900000000000001</v>
      </c>
      <c r="G831" s="7">
        <v>0</v>
      </c>
      <c r="H831" s="7">
        <v>0.19900000000000001</v>
      </c>
    </row>
    <row r="832" spans="1:8" ht="28.8" x14ac:dyDescent="0.3">
      <c r="A832" s="5">
        <v>561311</v>
      </c>
      <c r="B832" s="5">
        <v>561300</v>
      </c>
      <c r="C832" s="6" t="s">
        <v>887</v>
      </c>
      <c r="D832" s="4" t="s">
        <v>5</v>
      </c>
      <c r="E832" s="1" t="s">
        <v>6</v>
      </c>
      <c r="F832" s="7">
        <v>5.0999999999999997E-2</v>
      </c>
      <c r="G832" s="7">
        <v>0</v>
      </c>
      <c r="H832" s="7">
        <v>5.0999999999999997E-2</v>
      </c>
    </row>
    <row r="833" spans="1:8" ht="28.8" x14ac:dyDescent="0.3">
      <c r="A833" s="5">
        <v>561312</v>
      </c>
      <c r="B833" s="5">
        <v>561300</v>
      </c>
      <c r="C833" s="6" t="s">
        <v>888</v>
      </c>
      <c r="D833" s="4" t="s">
        <v>5</v>
      </c>
      <c r="E833" s="1" t="s">
        <v>6</v>
      </c>
      <c r="F833" s="7">
        <v>5.0999999999999997E-2</v>
      </c>
      <c r="G833" s="7">
        <v>0</v>
      </c>
      <c r="H833" s="7">
        <v>5.0999999999999997E-2</v>
      </c>
    </row>
    <row r="834" spans="1:8" ht="28.8" x14ac:dyDescent="0.3">
      <c r="A834" s="5">
        <v>561320</v>
      </c>
      <c r="B834" s="5">
        <v>561300</v>
      </c>
      <c r="C834" s="6" t="s">
        <v>889</v>
      </c>
      <c r="D834" s="4" t="s">
        <v>5</v>
      </c>
      <c r="E834" s="1" t="s">
        <v>6</v>
      </c>
      <c r="F834" s="7">
        <v>5.0999999999999997E-2</v>
      </c>
      <c r="G834" s="7">
        <v>0</v>
      </c>
      <c r="H834" s="7">
        <v>5.0999999999999997E-2</v>
      </c>
    </row>
    <row r="835" spans="1:8" ht="28.8" x14ac:dyDescent="0.3">
      <c r="A835" s="5">
        <v>561330</v>
      </c>
      <c r="B835" s="5">
        <v>561300</v>
      </c>
      <c r="C835" s="6" t="s">
        <v>890</v>
      </c>
      <c r="D835" s="4" t="s">
        <v>5</v>
      </c>
      <c r="E835" s="1" t="s">
        <v>6</v>
      </c>
      <c r="F835" s="7">
        <v>5.0999999999999997E-2</v>
      </c>
      <c r="G835" s="7">
        <v>0</v>
      </c>
      <c r="H835" s="7">
        <v>5.0999999999999997E-2</v>
      </c>
    </row>
    <row r="836" spans="1:8" ht="28.8" x14ac:dyDescent="0.3">
      <c r="A836" s="5">
        <v>561410</v>
      </c>
      <c r="B836" s="5">
        <v>561400</v>
      </c>
      <c r="C836" s="6" t="s">
        <v>891</v>
      </c>
      <c r="D836" s="4" t="s">
        <v>5</v>
      </c>
      <c r="E836" s="1" t="s">
        <v>6</v>
      </c>
      <c r="F836" s="7">
        <v>0.111</v>
      </c>
      <c r="G836" s="7">
        <v>0</v>
      </c>
      <c r="H836" s="7">
        <v>0.111</v>
      </c>
    </row>
    <row r="837" spans="1:8" ht="28.8" x14ac:dyDescent="0.3">
      <c r="A837" s="5">
        <v>561421</v>
      </c>
      <c r="B837" s="5">
        <v>561400</v>
      </c>
      <c r="C837" s="6" t="s">
        <v>892</v>
      </c>
      <c r="D837" s="4" t="s">
        <v>5</v>
      </c>
      <c r="E837" s="1" t="s">
        <v>6</v>
      </c>
      <c r="F837" s="7">
        <v>0.111</v>
      </c>
      <c r="G837" s="7">
        <v>0</v>
      </c>
      <c r="H837" s="7">
        <v>0.111</v>
      </c>
    </row>
    <row r="838" spans="1:8" ht="28.8" x14ac:dyDescent="0.3">
      <c r="A838" s="5">
        <v>561422</v>
      </c>
      <c r="B838" s="5">
        <v>561400</v>
      </c>
      <c r="C838" s="6" t="s">
        <v>893</v>
      </c>
      <c r="D838" s="4" t="s">
        <v>5</v>
      </c>
      <c r="E838" s="1" t="s">
        <v>6</v>
      </c>
      <c r="F838" s="7">
        <v>0.111</v>
      </c>
      <c r="G838" s="7">
        <v>0</v>
      </c>
      <c r="H838" s="7">
        <v>0.111</v>
      </c>
    </row>
    <row r="839" spans="1:8" ht="28.8" x14ac:dyDescent="0.3">
      <c r="A839" s="5">
        <v>561431</v>
      </c>
      <c r="B839" s="5">
        <v>561400</v>
      </c>
      <c r="C839" s="6" t="s">
        <v>894</v>
      </c>
      <c r="D839" s="4" t="s">
        <v>5</v>
      </c>
      <c r="E839" s="1" t="s">
        <v>6</v>
      </c>
      <c r="F839" s="7">
        <v>0.111</v>
      </c>
      <c r="G839" s="7">
        <v>0</v>
      </c>
      <c r="H839" s="7">
        <v>0.111</v>
      </c>
    </row>
    <row r="840" spans="1:8" ht="28.8" x14ac:dyDescent="0.3">
      <c r="A840" s="5">
        <v>561439</v>
      </c>
      <c r="B840" s="5">
        <v>561400</v>
      </c>
      <c r="C840" s="6" t="s">
        <v>895</v>
      </c>
      <c r="D840" s="4" t="s">
        <v>5</v>
      </c>
      <c r="E840" s="1" t="s">
        <v>6</v>
      </c>
      <c r="F840" s="7">
        <v>0.111</v>
      </c>
      <c r="G840" s="7">
        <v>0</v>
      </c>
      <c r="H840" s="7">
        <v>0.111</v>
      </c>
    </row>
    <row r="841" spans="1:8" ht="28.8" x14ac:dyDescent="0.3">
      <c r="A841" s="5">
        <v>561440</v>
      </c>
      <c r="B841" s="5">
        <v>561400</v>
      </c>
      <c r="C841" s="6" t="s">
        <v>896</v>
      </c>
      <c r="D841" s="4" t="s">
        <v>5</v>
      </c>
      <c r="E841" s="1" t="s">
        <v>6</v>
      </c>
      <c r="F841" s="7">
        <v>0.111</v>
      </c>
      <c r="G841" s="7">
        <v>0</v>
      </c>
      <c r="H841" s="7">
        <v>0.111</v>
      </c>
    </row>
    <row r="842" spans="1:8" ht="28.8" x14ac:dyDescent="0.3">
      <c r="A842" s="5">
        <v>561450</v>
      </c>
      <c r="B842" s="5">
        <v>561400</v>
      </c>
      <c r="C842" s="6" t="s">
        <v>897</v>
      </c>
      <c r="D842" s="4" t="s">
        <v>5</v>
      </c>
      <c r="E842" s="1" t="s">
        <v>6</v>
      </c>
      <c r="F842" s="7">
        <v>0.111</v>
      </c>
      <c r="G842" s="7">
        <v>0</v>
      </c>
      <c r="H842" s="7">
        <v>0.111</v>
      </c>
    </row>
    <row r="843" spans="1:8" ht="28.8" x14ac:dyDescent="0.3">
      <c r="A843" s="5">
        <v>561491</v>
      </c>
      <c r="B843" s="5">
        <v>561400</v>
      </c>
      <c r="C843" s="6" t="s">
        <v>898</v>
      </c>
      <c r="D843" s="4" t="s">
        <v>5</v>
      </c>
      <c r="E843" s="1" t="s">
        <v>6</v>
      </c>
      <c r="F843" s="7">
        <v>0.111</v>
      </c>
      <c r="G843" s="7">
        <v>0</v>
      </c>
      <c r="H843" s="7">
        <v>0.111</v>
      </c>
    </row>
    <row r="844" spans="1:8" ht="28.8" x14ac:dyDescent="0.3">
      <c r="A844" s="5">
        <v>561492</v>
      </c>
      <c r="B844" s="5">
        <v>561400</v>
      </c>
      <c r="C844" s="6" t="s">
        <v>899</v>
      </c>
      <c r="D844" s="4" t="s">
        <v>5</v>
      </c>
      <c r="E844" s="1" t="s">
        <v>6</v>
      </c>
      <c r="F844" s="7">
        <v>0.111</v>
      </c>
      <c r="G844" s="7">
        <v>0</v>
      </c>
      <c r="H844" s="7">
        <v>0.111</v>
      </c>
    </row>
    <row r="845" spans="1:8" ht="28.8" x14ac:dyDescent="0.3">
      <c r="A845" s="5">
        <v>561499</v>
      </c>
      <c r="B845" s="5">
        <v>561400</v>
      </c>
      <c r="C845" s="6" t="s">
        <v>900</v>
      </c>
      <c r="D845" s="4" t="s">
        <v>5</v>
      </c>
      <c r="E845" s="1" t="s">
        <v>6</v>
      </c>
      <c r="F845" s="7">
        <v>0.111</v>
      </c>
      <c r="G845" s="7">
        <v>0</v>
      </c>
      <c r="H845" s="7">
        <v>0.111</v>
      </c>
    </row>
    <row r="846" spans="1:8" ht="28.8" x14ac:dyDescent="0.3">
      <c r="A846" s="5">
        <v>561510</v>
      </c>
      <c r="B846" s="5">
        <v>561500</v>
      </c>
      <c r="C846" s="6" t="s">
        <v>901</v>
      </c>
      <c r="D846" s="4" t="s">
        <v>5</v>
      </c>
      <c r="E846" s="1" t="s">
        <v>6</v>
      </c>
      <c r="F846" s="7">
        <v>8.7999999999999995E-2</v>
      </c>
      <c r="G846" s="7">
        <v>0</v>
      </c>
      <c r="H846" s="7">
        <v>8.7999999999999995E-2</v>
      </c>
    </row>
    <row r="847" spans="1:8" ht="28.8" x14ac:dyDescent="0.3">
      <c r="A847" s="5">
        <v>561520</v>
      </c>
      <c r="B847" s="5">
        <v>561500</v>
      </c>
      <c r="C847" s="6" t="s">
        <v>902</v>
      </c>
      <c r="D847" s="4" t="s">
        <v>5</v>
      </c>
      <c r="E847" s="1" t="s">
        <v>6</v>
      </c>
      <c r="F847" s="7">
        <v>8.7999999999999995E-2</v>
      </c>
      <c r="G847" s="7">
        <v>0</v>
      </c>
      <c r="H847" s="7">
        <v>8.7999999999999995E-2</v>
      </c>
    </row>
    <row r="848" spans="1:8" ht="28.8" x14ac:dyDescent="0.3">
      <c r="A848" s="5">
        <v>561591</v>
      </c>
      <c r="B848" s="5">
        <v>561500</v>
      </c>
      <c r="C848" s="6" t="s">
        <v>903</v>
      </c>
      <c r="D848" s="4" t="s">
        <v>5</v>
      </c>
      <c r="E848" s="1" t="s">
        <v>6</v>
      </c>
      <c r="F848" s="7">
        <v>8.7999999999999995E-2</v>
      </c>
      <c r="G848" s="7">
        <v>0</v>
      </c>
      <c r="H848" s="7">
        <v>8.7999999999999995E-2</v>
      </c>
    </row>
    <row r="849" spans="1:8" ht="28.8" x14ac:dyDescent="0.3">
      <c r="A849" s="5">
        <v>561599</v>
      </c>
      <c r="B849" s="5">
        <v>561500</v>
      </c>
      <c r="C849" s="6" t="s">
        <v>904</v>
      </c>
      <c r="D849" s="4" t="s">
        <v>5</v>
      </c>
      <c r="E849" s="1" t="s">
        <v>6</v>
      </c>
      <c r="F849" s="7">
        <v>8.7999999999999995E-2</v>
      </c>
      <c r="G849" s="7">
        <v>0</v>
      </c>
      <c r="H849" s="7">
        <v>8.7999999999999995E-2</v>
      </c>
    </row>
    <row r="850" spans="1:8" ht="28.8" x14ac:dyDescent="0.3">
      <c r="A850" s="5">
        <v>561611</v>
      </c>
      <c r="B850" s="5">
        <v>561600</v>
      </c>
      <c r="C850" s="6" t="s">
        <v>905</v>
      </c>
      <c r="D850" s="4" t="s">
        <v>5</v>
      </c>
      <c r="E850" s="1" t="s">
        <v>6</v>
      </c>
      <c r="F850" s="7">
        <v>7.3999999999999996E-2</v>
      </c>
      <c r="G850" s="7">
        <v>0</v>
      </c>
      <c r="H850" s="7">
        <v>7.3999999999999996E-2</v>
      </c>
    </row>
    <row r="851" spans="1:8" ht="28.8" x14ac:dyDescent="0.3">
      <c r="A851" s="5">
        <v>561612</v>
      </c>
      <c r="B851" s="5">
        <v>561600</v>
      </c>
      <c r="C851" s="6" t="s">
        <v>906</v>
      </c>
      <c r="D851" s="4" t="s">
        <v>5</v>
      </c>
      <c r="E851" s="1" t="s">
        <v>6</v>
      </c>
      <c r="F851" s="7">
        <v>7.3999999999999996E-2</v>
      </c>
      <c r="G851" s="7">
        <v>0</v>
      </c>
      <c r="H851" s="7">
        <v>7.3999999999999996E-2</v>
      </c>
    </row>
    <row r="852" spans="1:8" ht="28.8" x14ac:dyDescent="0.3">
      <c r="A852" s="5">
        <v>561613</v>
      </c>
      <c r="B852" s="5">
        <v>561600</v>
      </c>
      <c r="C852" s="6" t="s">
        <v>907</v>
      </c>
      <c r="D852" s="4" t="s">
        <v>5</v>
      </c>
      <c r="E852" s="1" t="s">
        <v>6</v>
      </c>
      <c r="F852" s="7">
        <v>7.3999999999999996E-2</v>
      </c>
      <c r="G852" s="7">
        <v>0</v>
      </c>
      <c r="H852" s="7">
        <v>7.3999999999999996E-2</v>
      </c>
    </row>
    <row r="853" spans="1:8" ht="28.8" x14ac:dyDescent="0.3">
      <c r="A853" s="5">
        <v>561621</v>
      </c>
      <c r="B853" s="5">
        <v>561600</v>
      </c>
      <c r="C853" s="6" t="s">
        <v>908</v>
      </c>
      <c r="D853" s="4" t="s">
        <v>5</v>
      </c>
      <c r="E853" s="1" t="s">
        <v>6</v>
      </c>
      <c r="F853" s="7">
        <v>7.3999999999999996E-2</v>
      </c>
      <c r="G853" s="7">
        <v>0</v>
      </c>
      <c r="H853" s="7">
        <v>7.3999999999999996E-2</v>
      </c>
    </row>
    <row r="854" spans="1:8" ht="28.8" x14ac:dyDescent="0.3">
      <c r="A854" s="5">
        <v>561622</v>
      </c>
      <c r="B854" s="5">
        <v>561600</v>
      </c>
      <c r="C854" s="6" t="s">
        <v>909</v>
      </c>
      <c r="D854" s="4" t="s">
        <v>5</v>
      </c>
      <c r="E854" s="1" t="s">
        <v>6</v>
      </c>
      <c r="F854" s="7">
        <v>7.3999999999999996E-2</v>
      </c>
      <c r="G854" s="7">
        <v>0</v>
      </c>
      <c r="H854" s="7">
        <v>7.3999999999999996E-2</v>
      </c>
    </row>
    <row r="855" spans="1:8" ht="28.8" x14ac:dyDescent="0.3">
      <c r="A855" s="5">
        <v>561710</v>
      </c>
      <c r="B855" s="5">
        <v>561700</v>
      </c>
      <c r="C855" s="6" t="s">
        <v>910</v>
      </c>
      <c r="D855" s="4" t="s">
        <v>5</v>
      </c>
      <c r="E855" s="1" t="s">
        <v>6</v>
      </c>
      <c r="F855" s="7">
        <v>0.214</v>
      </c>
      <c r="G855" s="7">
        <v>0</v>
      </c>
      <c r="H855" s="7">
        <v>0.214</v>
      </c>
    </row>
    <row r="856" spans="1:8" ht="28.8" x14ac:dyDescent="0.3">
      <c r="A856" s="5">
        <v>561720</v>
      </c>
      <c r="B856" s="5">
        <v>561700</v>
      </c>
      <c r="C856" s="6" t="s">
        <v>911</v>
      </c>
      <c r="D856" s="4" t="s">
        <v>5</v>
      </c>
      <c r="E856" s="1" t="s">
        <v>6</v>
      </c>
      <c r="F856" s="7">
        <v>0.214</v>
      </c>
      <c r="G856" s="7">
        <v>0</v>
      </c>
      <c r="H856" s="7">
        <v>0.214</v>
      </c>
    </row>
    <row r="857" spans="1:8" ht="28.8" x14ac:dyDescent="0.3">
      <c r="A857" s="5">
        <v>561730</v>
      </c>
      <c r="B857" s="5">
        <v>561700</v>
      </c>
      <c r="C857" s="6" t="s">
        <v>912</v>
      </c>
      <c r="D857" s="4" t="s">
        <v>5</v>
      </c>
      <c r="E857" s="1" t="s">
        <v>6</v>
      </c>
      <c r="F857" s="7">
        <v>0.214</v>
      </c>
      <c r="G857" s="7">
        <v>0</v>
      </c>
      <c r="H857" s="7">
        <v>0.214</v>
      </c>
    </row>
    <row r="858" spans="1:8" ht="28.8" x14ac:dyDescent="0.3">
      <c r="A858" s="5">
        <v>561740</v>
      </c>
      <c r="B858" s="5">
        <v>561700</v>
      </c>
      <c r="C858" s="6" t="s">
        <v>913</v>
      </c>
      <c r="D858" s="4" t="s">
        <v>5</v>
      </c>
      <c r="E858" s="1" t="s">
        <v>6</v>
      </c>
      <c r="F858" s="7">
        <v>0.214</v>
      </c>
      <c r="G858" s="7">
        <v>0</v>
      </c>
      <c r="H858" s="7">
        <v>0.214</v>
      </c>
    </row>
    <row r="859" spans="1:8" ht="28.8" x14ac:dyDescent="0.3">
      <c r="A859" s="5">
        <v>561790</v>
      </c>
      <c r="B859" s="5">
        <v>561700</v>
      </c>
      <c r="C859" s="6" t="s">
        <v>914</v>
      </c>
      <c r="D859" s="4" t="s">
        <v>5</v>
      </c>
      <c r="E859" s="1" t="s">
        <v>6</v>
      </c>
      <c r="F859" s="7">
        <v>0.214</v>
      </c>
      <c r="G859" s="7">
        <v>0</v>
      </c>
      <c r="H859" s="7">
        <v>0.214</v>
      </c>
    </row>
    <row r="860" spans="1:8" ht="28.8" x14ac:dyDescent="0.3">
      <c r="A860" s="5">
        <v>561910</v>
      </c>
      <c r="B860" s="5">
        <v>561900</v>
      </c>
      <c r="C860" s="6" t="s">
        <v>915</v>
      </c>
      <c r="D860" s="4" t="s">
        <v>5</v>
      </c>
      <c r="E860" s="1" t="s">
        <v>6</v>
      </c>
      <c r="F860" s="7">
        <v>0.127</v>
      </c>
      <c r="G860" s="7">
        <v>0</v>
      </c>
      <c r="H860" s="7">
        <v>0.127</v>
      </c>
    </row>
    <row r="861" spans="1:8" ht="28.8" x14ac:dyDescent="0.3">
      <c r="A861" s="5">
        <v>561920</v>
      </c>
      <c r="B861" s="5">
        <v>561900</v>
      </c>
      <c r="C861" s="6" t="s">
        <v>916</v>
      </c>
      <c r="D861" s="4" t="s">
        <v>5</v>
      </c>
      <c r="E861" s="1" t="s">
        <v>6</v>
      </c>
      <c r="F861" s="7">
        <v>0.127</v>
      </c>
      <c r="G861" s="7">
        <v>0</v>
      </c>
      <c r="H861" s="7">
        <v>0.127</v>
      </c>
    </row>
    <row r="862" spans="1:8" ht="28.8" x14ac:dyDescent="0.3">
      <c r="A862" s="5">
        <v>561990</v>
      </c>
      <c r="B862" s="5">
        <v>561900</v>
      </c>
      <c r="C862" s="6" t="s">
        <v>917</v>
      </c>
      <c r="D862" s="4" t="s">
        <v>5</v>
      </c>
      <c r="E862" s="1" t="s">
        <v>6</v>
      </c>
      <c r="F862" s="7">
        <v>0.127</v>
      </c>
      <c r="G862" s="7">
        <v>0</v>
      </c>
      <c r="H862" s="7">
        <v>0.127</v>
      </c>
    </row>
    <row r="863" spans="1:8" ht="28.8" x14ac:dyDescent="0.3">
      <c r="A863" s="5">
        <v>562111</v>
      </c>
      <c r="B863" s="5">
        <v>562000</v>
      </c>
      <c r="C863" s="6" t="s">
        <v>918</v>
      </c>
      <c r="D863" s="4" t="s">
        <v>5</v>
      </c>
      <c r="E863" s="1" t="s">
        <v>6</v>
      </c>
      <c r="F863" s="7">
        <v>0.98799999999999999</v>
      </c>
      <c r="G863" s="7">
        <v>0</v>
      </c>
      <c r="H863" s="7">
        <v>0.98799999999999999</v>
      </c>
    </row>
    <row r="864" spans="1:8" ht="28.8" x14ac:dyDescent="0.3">
      <c r="A864" s="5">
        <v>562112</v>
      </c>
      <c r="B864" s="5">
        <v>562000</v>
      </c>
      <c r="C864" s="6" t="s">
        <v>919</v>
      </c>
      <c r="D864" s="4" t="s">
        <v>5</v>
      </c>
      <c r="E864" s="1" t="s">
        <v>6</v>
      </c>
      <c r="F864" s="7">
        <v>0.98799999999999999</v>
      </c>
      <c r="G864" s="7">
        <v>0</v>
      </c>
      <c r="H864" s="7">
        <v>0.98799999999999999</v>
      </c>
    </row>
    <row r="865" spans="1:8" ht="28.8" x14ac:dyDescent="0.3">
      <c r="A865" s="5">
        <v>562119</v>
      </c>
      <c r="B865" s="5">
        <v>562000</v>
      </c>
      <c r="C865" s="6" t="s">
        <v>920</v>
      </c>
      <c r="D865" s="4" t="s">
        <v>5</v>
      </c>
      <c r="E865" s="1" t="s">
        <v>6</v>
      </c>
      <c r="F865" s="7">
        <v>0.98799999999999999</v>
      </c>
      <c r="G865" s="7">
        <v>0</v>
      </c>
      <c r="H865" s="7">
        <v>0.98799999999999999</v>
      </c>
    </row>
    <row r="866" spans="1:8" ht="28.8" x14ac:dyDescent="0.3">
      <c r="A866" s="5">
        <v>562211</v>
      </c>
      <c r="B866" s="5">
        <v>562000</v>
      </c>
      <c r="C866" s="6" t="s">
        <v>921</v>
      </c>
      <c r="D866" s="4" t="s">
        <v>5</v>
      </c>
      <c r="E866" s="1" t="s">
        <v>6</v>
      </c>
      <c r="F866" s="7">
        <v>0.98799999999999999</v>
      </c>
      <c r="G866" s="7">
        <v>0</v>
      </c>
      <c r="H866" s="7">
        <v>0.98799999999999999</v>
      </c>
    </row>
    <row r="867" spans="1:8" ht="28.8" x14ac:dyDescent="0.3">
      <c r="A867" s="5">
        <v>562212</v>
      </c>
      <c r="B867" s="5">
        <v>562000</v>
      </c>
      <c r="C867" s="6" t="s">
        <v>922</v>
      </c>
      <c r="D867" s="4" t="s">
        <v>5</v>
      </c>
      <c r="E867" s="1" t="s">
        <v>6</v>
      </c>
      <c r="F867" s="7">
        <v>0.98799999999999999</v>
      </c>
      <c r="G867" s="7">
        <v>0</v>
      </c>
      <c r="H867" s="7">
        <v>0.98799999999999999</v>
      </c>
    </row>
    <row r="868" spans="1:8" ht="28.8" x14ac:dyDescent="0.3">
      <c r="A868" s="5">
        <v>562213</v>
      </c>
      <c r="B868" s="5">
        <v>562000</v>
      </c>
      <c r="C868" s="6" t="s">
        <v>923</v>
      </c>
      <c r="D868" s="4" t="s">
        <v>5</v>
      </c>
      <c r="E868" s="1" t="s">
        <v>6</v>
      </c>
      <c r="F868" s="7">
        <v>0.98799999999999999</v>
      </c>
      <c r="G868" s="7">
        <v>0</v>
      </c>
      <c r="H868" s="7">
        <v>0.98799999999999999</v>
      </c>
    </row>
    <row r="869" spans="1:8" ht="28.8" x14ac:dyDescent="0.3">
      <c r="A869" s="5">
        <v>562219</v>
      </c>
      <c r="B869" s="5">
        <v>562000</v>
      </c>
      <c r="C869" s="6" t="s">
        <v>924</v>
      </c>
      <c r="D869" s="4" t="s">
        <v>5</v>
      </c>
      <c r="E869" s="1" t="s">
        <v>6</v>
      </c>
      <c r="F869" s="7">
        <v>0.98799999999999999</v>
      </c>
      <c r="G869" s="7">
        <v>0</v>
      </c>
      <c r="H869" s="7">
        <v>0.98799999999999999</v>
      </c>
    </row>
    <row r="870" spans="1:8" ht="28.8" x14ac:dyDescent="0.3">
      <c r="A870" s="5">
        <v>562910</v>
      </c>
      <c r="B870" s="5">
        <v>562000</v>
      </c>
      <c r="C870" s="6" t="s">
        <v>925</v>
      </c>
      <c r="D870" s="4" t="s">
        <v>5</v>
      </c>
      <c r="E870" s="1" t="s">
        <v>6</v>
      </c>
      <c r="F870" s="7">
        <v>0.98799999999999999</v>
      </c>
      <c r="G870" s="7">
        <v>0</v>
      </c>
      <c r="H870" s="7">
        <v>0.98799999999999999</v>
      </c>
    </row>
    <row r="871" spans="1:8" ht="28.8" x14ac:dyDescent="0.3">
      <c r="A871" s="5">
        <v>562920</v>
      </c>
      <c r="B871" s="5">
        <v>562000</v>
      </c>
      <c r="C871" s="6" t="s">
        <v>926</v>
      </c>
      <c r="D871" s="4" t="s">
        <v>5</v>
      </c>
      <c r="E871" s="1" t="s">
        <v>6</v>
      </c>
      <c r="F871" s="7">
        <v>0.98799999999999999</v>
      </c>
      <c r="G871" s="7">
        <v>0</v>
      </c>
      <c r="H871" s="7">
        <v>0.98799999999999999</v>
      </c>
    </row>
    <row r="872" spans="1:8" ht="28.8" x14ac:dyDescent="0.3">
      <c r="A872" s="5">
        <v>562991</v>
      </c>
      <c r="B872" s="5">
        <v>562000</v>
      </c>
      <c r="C872" s="6" t="s">
        <v>927</v>
      </c>
      <c r="D872" s="4" t="s">
        <v>5</v>
      </c>
      <c r="E872" s="1" t="s">
        <v>6</v>
      </c>
      <c r="F872" s="7">
        <v>0.98799999999999999</v>
      </c>
      <c r="G872" s="7">
        <v>0</v>
      </c>
      <c r="H872" s="7">
        <v>0.98799999999999999</v>
      </c>
    </row>
    <row r="873" spans="1:8" ht="28.8" x14ac:dyDescent="0.3">
      <c r="A873" s="5">
        <v>562998</v>
      </c>
      <c r="B873" s="5">
        <v>562000</v>
      </c>
      <c r="C873" s="6" t="s">
        <v>928</v>
      </c>
      <c r="D873" s="4" t="s">
        <v>5</v>
      </c>
      <c r="E873" s="1" t="s">
        <v>6</v>
      </c>
      <c r="F873" s="7">
        <v>0.98799999999999999</v>
      </c>
      <c r="G873" s="7">
        <v>0</v>
      </c>
      <c r="H873" s="7">
        <v>0.98799999999999999</v>
      </c>
    </row>
    <row r="874" spans="1:8" ht="28.8" x14ac:dyDescent="0.3">
      <c r="A874" s="5">
        <v>611110</v>
      </c>
      <c r="B874" s="5">
        <v>611100</v>
      </c>
      <c r="C874" s="6" t="s">
        <v>929</v>
      </c>
      <c r="D874" s="4" t="s">
        <v>5</v>
      </c>
      <c r="E874" s="1" t="s">
        <v>6</v>
      </c>
      <c r="F874" s="7">
        <v>0.186</v>
      </c>
      <c r="G874" s="7">
        <v>0</v>
      </c>
      <c r="H874" s="7">
        <v>0.186</v>
      </c>
    </row>
    <row r="875" spans="1:8" ht="28.8" x14ac:dyDescent="0.3">
      <c r="A875" s="5">
        <v>611210</v>
      </c>
      <c r="B875" s="5" t="s">
        <v>931</v>
      </c>
      <c r="C875" s="6" t="s">
        <v>930</v>
      </c>
      <c r="D875" s="4" t="s">
        <v>5</v>
      </c>
      <c r="E875" s="1" t="s">
        <v>6</v>
      </c>
      <c r="F875" s="7">
        <v>0.14000000000000001</v>
      </c>
      <c r="G875" s="7">
        <v>0</v>
      </c>
      <c r="H875" s="7">
        <v>0.14000000000000001</v>
      </c>
    </row>
    <row r="876" spans="1:8" ht="28.8" x14ac:dyDescent="0.3">
      <c r="A876" s="5">
        <v>611310</v>
      </c>
      <c r="B876" s="5" t="s">
        <v>931</v>
      </c>
      <c r="C876" s="6" t="s">
        <v>932</v>
      </c>
      <c r="D876" s="4" t="s">
        <v>5</v>
      </c>
      <c r="E876" s="1" t="s">
        <v>6</v>
      </c>
      <c r="F876" s="7">
        <v>0.14000000000000001</v>
      </c>
      <c r="G876" s="7">
        <v>0</v>
      </c>
      <c r="H876" s="7">
        <v>0.14000000000000001</v>
      </c>
    </row>
    <row r="877" spans="1:8" ht="28.8" x14ac:dyDescent="0.3">
      <c r="A877" s="5">
        <v>611410</v>
      </c>
      <c r="B877" s="5" t="s">
        <v>934</v>
      </c>
      <c r="C877" s="6" t="s">
        <v>933</v>
      </c>
      <c r="D877" s="4" t="s">
        <v>5</v>
      </c>
      <c r="E877" s="1" t="s">
        <v>6</v>
      </c>
      <c r="F877" s="7">
        <v>0.108</v>
      </c>
      <c r="G877" s="7">
        <v>0</v>
      </c>
      <c r="H877" s="7">
        <v>0.108</v>
      </c>
    </row>
    <row r="878" spans="1:8" ht="28.8" x14ac:dyDescent="0.3">
      <c r="A878" s="5">
        <v>611420</v>
      </c>
      <c r="B878" s="5" t="s">
        <v>934</v>
      </c>
      <c r="C878" s="6" t="s">
        <v>935</v>
      </c>
      <c r="D878" s="4" t="s">
        <v>5</v>
      </c>
      <c r="E878" s="1" t="s">
        <v>6</v>
      </c>
      <c r="F878" s="7">
        <v>0.108</v>
      </c>
      <c r="G878" s="7">
        <v>0</v>
      </c>
      <c r="H878" s="7">
        <v>0.108</v>
      </c>
    </row>
    <row r="879" spans="1:8" ht="28.8" x14ac:dyDescent="0.3">
      <c r="A879" s="5">
        <v>611430</v>
      </c>
      <c r="B879" s="5" t="s">
        <v>934</v>
      </c>
      <c r="C879" s="6" t="s">
        <v>936</v>
      </c>
      <c r="D879" s="4" t="s">
        <v>5</v>
      </c>
      <c r="E879" s="1" t="s">
        <v>6</v>
      </c>
      <c r="F879" s="7">
        <v>0.108</v>
      </c>
      <c r="G879" s="7">
        <v>0</v>
      </c>
      <c r="H879" s="7">
        <v>0.108</v>
      </c>
    </row>
    <row r="880" spans="1:8" ht="28.8" x14ac:dyDescent="0.3">
      <c r="A880" s="5">
        <v>611511</v>
      </c>
      <c r="B880" s="5" t="s">
        <v>934</v>
      </c>
      <c r="C880" s="6" t="s">
        <v>937</v>
      </c>
      <c r="D880" s="4" t="s">
        <v>5</v>
      </c>
      <c r="E880" s="1" t="s">
        <v>6</v>
      </c>
      <c r="F880" s="7">
        <v>0.108</v>
      </c>
      <c r="G880" s="7">
        <v>0</v>
      </c>
      <c r="H880" s="7">
        <v>0.108</v>
      </c>
    </row>
    <row r="881" spans="1:8" ht="28.8" x14ac:dyDescent="0.3">
      <c r="A881" s="5">
        <v>611512</v>
      </c>
      <c r="B881" s="5" t="s">
        <v>934</v>
      </c>
      <c r="C881" s="6" t="s">
        <v>938</v>
      </c>
      <c r="D881" s="4" t="s">
        <v>5</v>
      </c>
      <c r="E881" s="1" t="s">
        <v>6</v>
      </c>
      <c r="F881" s="7">
        <v>0.108</v>
      </c>
      <c r="G881" s="7">
        <v>0</v>
      </c>
      <c r="H881" s="7">
        <v>0.108</v>
      </c>
    </row>
    <row r="882" spans="1:8" ht="28.8" x14ac:dyDescent="0.3">
      <c r="A882" s="5">
        <v>611513</v>
      </c>
      <c r="B882" s="5" t="s">
        <v>934</v>
      </c>
      <c r="C882" s="6" t="s">
        <v>939</v>
      </c>
      <c r="D882" s="4" t="s">
        <v>5</v>
      </c>
      <c r="E882" s="1" t="s">
        <v>6</v>
      </c>
      <c r="F882" s="7">
        <v>0.108</v>
      </c>
      <c r="G882" s="7">
        <v>0</v>
      </c>
      <c r="H882" s="7">
        <v>0.108</v>
      </c>
    </row>
    <row r="883" spans="1:8" ht="28.8" x14ac:dyDescent="0.3">
      <c r="A883" s="5">
        <v>611519</v>
      </c>
      <c r="B883" s="5" t="s">
        <v>934</v>
      </c>
      <c r="C883" s="6" t="s">
        <v>940</v>
      </c>
      <c r="D883" s="4" t="s">
        <v>5</v>
      </c>
      <c r="E883" s="1" t="s">
        <v>6</v>
      </c>
      <c r="F883" s="7">
        <v>0.108</v>
      </c>
      <c r="G883" s="7">
        <v>0</v>
      </c>
      <c r="H883" s="7">
        <v>0.108</v>
      </c>
    </row>
    <row r="884" spans="1:8" ht="28.8" x14ac:dyDescent="0.3">
      <c r="A884" s="5">
        <v>611610</v>
      </c>
      <c r="B884" s="5" t="s">
        <v>934</v>
      </c>
      <c r="C884" s="6" t="s">
        <v>941</v>
      </c>
      <c r="D884" s="4" t="s">
        <v>5</v>
      </c>
      <c r="E884" s="1" t="s">
        <v>6</v>
      </c>
      <c r="F884" s="7">
        <v>0.108</v>
      </c>
      <c r="G884" s="7">
        <v>0</v>
      </c>
      <c r="H884" s="7">
        <v>0.108</v>
      </c>
    </row>
    <row r="885" spans="1:8" ht="28.8" x14ac:dyDescent="0.3">
      <c r="A885" s="5">
        <v>611620</v>
      </c>
      <c r="B885" s="5" t="s">
        <v>934</v>
      </c>
      <c r="C885" s="6" t="s">
        <v>942</v>
      </c>
      <c r="D885" s="4" t="s">
        <v>5</v>
      </c>
      <c r="E885" s="1" t="s">
        <v>6</v>
      </c>
      <c r="F885" s="7">
        <v>0.108</v>
      </c>
      <c r="G885" s="7">
        <v>0</v>
      </c>
      <c r="H885" s="7">
        <v>0.108</v>
      </c>
    </row>
    <row r="886" spans="1:8" ht="28.8" x14ac:dyDescent="0.3">
      <c r="A886" s="5">
        <v>611630</v>
      </c>
      <c r="B886" s="5" t="s">
        <v>934</v>
      </c>
      <c r="C886" s="6" t="s">
        <v>943</v>
      </c>
      <c r="D886" s="4" t="s">
        <v>5</v>
      </c>
      <c r="E886" s="1" t="s">
        <v>6</v>
      </c>
      <c r="F886" s="7">
        <v>0.108</v>
      </c>
      <c r="G886" s="7">
        <v>0</v>
      </c>
      <c r="H886" s="7">
        <v>0.108</v>
      </c>
    </row>
    <row r="887" spans="1:8" ht="28.8" x14ac:dyDescent="0.3">
      <c r="A887" s="5">
        <v>611691</v>
      </c>
      <c r="B887" s="5" t="s">
        <v>934</v>
      </c>
      <c r="C887" s="6" t="s">
        <v>944</v>
      </c>
      <c r="D887" s="4" t="s">
        <v>5</v>
      </c>
      <c r="E887" s="1" t="s">
        <v>6</v>
      </c>
      <c r="F887" s="7">
        <v>0.108</v>
      </c>
      <c r="G887" s="7">
        <v>0</v>
      </c>
      <c r="H887" s="7">
        <v>0.108</v>
      </c>
    </row>
    <row r="888" spans="1:8" ht="28.8" x14ac:dyDescent="0.3">
      <c r="A888" s="5">
        <v>611692</v>
      </c>
      <c r="B888" s="5" t="s">
        <v>934</v>
      </c>
      <c r="C888" s="6" t="s">
        <v>945</v>
      </c>
      <c r="D888" s="4" t="s">
        <v>5</v>
      </c>
      <c r="E888" s="1" t="s">
        <v>6</v>
      </c>
      <c r="F888" s="7">
        <v>0.108</v>
      </c>
      <c r="G888" s="7">
        <v>0</v>
      </c>
      <c r="H888" s="7">
        <v>0.108</v>
      </c>
    </row>
    <row r="889" spans="1:8" ht="28.8" x14ac:dyDescent="0.3">
      <c r="A889" s="5">
        <v>611699</v>
      </c>
      <c r="B889" s="5" t="s">
        <v>934</v>
      </c>
      <c r="C889" s="6" t="s">
        <v>946</v>
      </c>
      <c r="D889" s="4" t="s">
        <v>5</v>
      </c>
      <c r="E889" s="1" t="s">
        <v>6</v>
      </c>
      <c r="F889" s="7">
        <v>0.108</v>
      </c>
      <c r="G889" s="7">
        <v>0</v>
      </c>
      <c r="H889" s="7">
        <v>0.108</v>
      </c>
    </row>
    <row r="890" spans="1:8" ht="28.8" x14ac:dyDescent="0.3">
      <c r="A890" s="5">
        <v>611710</v>
      </c>
      <c r="B890" s="5" t="s">
        <v>934</v>
      </c>
      <c r="C890" s="6" t="s">
        <v>947</v>
      </c>
      <c r="D890" s="4" t="s">
        <v>5</v>
      </c>
      <c r="E890" s="1" t="s">
        <v>6</v>
      </c>
      <c r="F890" s="7">
        <v>0.108</v>
      </c>
      <c r="G890" s="7">
        <v>0</v>
      </c>
      <c r="H890" s="7">
        <v>0.108</v>
      </c>
    </row>
    <row r="891" spans="1:8" ht="28.8" x14ac:dyDescent="0.3">
      <c r="A891" s="5">
        <v>621111</v>
      </c>
      <c r="B891" s="5">
        <v>621100</v>
      </c>
      <c r="C891" s="6" t="s">
        <v>948</v>
      </c>
      <c r="D891" s="4" t="s">
        <v>5</v>
      </c>
      <c r="E891" s="1" t="s">
        <v>6</v>
      </c>
      <c r="F891" s="7">
        <v>8.3000000000000004E-2</v>
      </c>
      <c r="G891" s="7">
        <v>0</v>
      </c>
      <c r="H891" s="7">
        <v>8.3000000000000004E-2</v>
      </c>
    </row>
    <row r="892" spans="1:8" ht="28.8" x14ac:dyDescent="0.3">
      <c r="A892" s="5">
        <v>621112</v>
      </c>
      <c r="B892" s="5">
        <v>621100</v>
      </c>
      <c r="C892" s="6" t="s">
        <v>949</v>
      </c>
      <c r="D892" s="4" t="s">
        <v>5</v>
      </c>
      <c r="E892" s="1" t="s">
        <v>6</v>
      </c>
      <c r="F892" s="7">
        <v>8.3000000000000004E-2</v>
      </c>
      <c r="G892" s="7">
        <v>0</v>
      </c>
      <c r="H892" s="7">
        <v>8.3000000000000004E-2</v>
      </c>
    </row>
    <row r="893" spans="1:8" ht="28.8" x14ac:dyDescent="0.3">
      <c r="A893" s="5">
        <v>621210</v>
      </c>
      <c r="B893" s="5">
        <v>621200</v>
      </c>
      <c r="C893" s="6" t="s">
        <v>950</v>
      </c>
      <c r="D893" s="4" t="s">
        <v>5</v>
      </c>
      <c r="E893" s="1" t="s">
        <v>6</v>
      </c>
      <c r="F893" s="7">
        <v>5.6000000000000001E-2</v>
      </c>
      <c r="G893" s="7">
        <v>0</v>
      </c>
      <c r="H893" s="7">
        <v>5.6000000000000001E-2</v>
      </c>
    </row>
    <row r="894" spans="1:8" ht="28.8" x14ac:dyDescent="0.3">
      <c r="A894" s="5">
        <v>621310</v>
      </c>
      <c r="B894" s="5">
        <v>621300</v>
      </c>
      <c r="C894" s="6" t="s">
        <v>951</v>
      </c>
      <c r="D894" s="4" t="s">
        <v>5</v>
      </c>
      <c r="E894" s="1" t="s">
        <v>6</v>
      </c>
      <c r="F894" s="7">
        <v>0.105</v>
      </c>
      <c r="G894" s="7">
        <v>0</v>
      </c>
      <c r="H894" s="7">
        <v>0.105</v>
      </c>
    </row>
    <row r="895" spans="1:8" ht="28.8" x14ac:dyDescent="0.3">
      <c r="A895" s="5">
        <v>621320</v>
      </c>
      <c r="B895" s="5">
        <v>621300</v>
      </c>
      <c r="C895" s="6" t="s">
        <v>952</v>
      </c>
      <c r="D895" s="4" t="s">
        <v>5</v>
      </c>
      <c r="E895" s="1" t="s">
        <v>6</v>
      </c>
      <c r="F895" s="7">
        <v>0.105</v>
      </c>
      <c r="G895" s="7">
        <v>0</v>
      </c>
      <c r="H895" s="7">
        <v>0.105</v>
      </c>
    </row>
    <row r="896" spans="1:8" ht="28.8" x14ac:dyDescent="0.3">
      <c r="A896" s="5">
        <v>621330</v>
      </c>
      <c r="B896" s="5">
        <v>621300</v>
      </c>
      <c r="C896" s="6" t="s">
        <v>953</v>
      </c>
      <c r="D896" s="4" t="s">
        <v>5</v>
      </c>
      <c r="E896" s="1" t="s">
        <v>6</v>
      </c>
      <c r="F896" s="7">
        <v>0.105</v>
      </c>
      <c r="G896" s="7">
        <v>0</v>
      </c>
      <c r="H896" s="7">
        <v>0.105</v>
      </c>
    </row>
    <row r="897" spans="1:8" ht="28.8" x14ac:dyDescent="0.3">
      <c r="A897" s="5">
        <v>621340</v>
      </c>
      <c r="B897" s="5">
        <v>621300</v>
      </c>
      <c r="C897" s="6" t="s">
        <v>954</v>
      </c>
      <c r="D897" s="4" t="s">
        <v>5</v>
      </c>
      <c r="E897" s="1" t="s">
        <v>6</v>
      </c>
      <c r="F897" s="7">
        <v>0.105</v>
      </c>
      <c r="G897" s="7">
        <v>0</v>
      </c>
      <c r="H897" s="7">
        <v>0.105</v>
      </c>
    </row>
    <row r="898" spans="1:8" ht="28.8" x14ac:dyDescent="0.3">
      <c r="A898" s="5">
        <v>621391</v>
      </c>
      <c r="B898" s="5">
        <v>621300</v>
      </c>
      <c r="C898" s="6" t="s">
        <v>955</v>
      </c>
      <c r="D898" s="4" t="s">
        <v>5</v>
      </c>
      <c r="E898" s="1" t="s">
        <v>6</v>
      </c>
      <c r="F898" s="7">
        <v>0.105</v>
      </c>
      <c r="G898" s="7">
        <v>0</v>
      </c>
      <c r="H898" s="7">
        <v>0.105</v>
      </c>
    </row>
    <row r="899" spans="1:8" ht="28.8" x14ac:dyDescent="0.3">
      <c r="A899" s="5">
        <v>621399</v>
      </c>
      <c r="B899" s="5">
        <v>621300</v>
      </c>
      <c r="C899" s="6" t="s">
        <v>956</v>
      </c>
      <c r="D899" s="4" t="s">
        <v>5</v>
      </c>
      <c r="E899" s="1" t="s">
        <v>6</v>
      </c>
      <c r="F899" s="7">
        <v>0.105</v>
      </c>
      <c r="G899" s="7">
        <v>0</v>
      </c>
      <c r="H899" s="7">
        <v>0.105</v>
      </c>
    </row>
    <row r="900" spans="1:8" ht="28.8" x14ac:dyDescent="0.3">
      <c r="A900" s="5">
        <v>621410</v>
      </c>
      <c r="B900" s="5">
        <v>621400</v>
      </c>
      <c r="C900" s="6" t="s">
        <v>957</v>
      </c>
      <c r="D900" s="4" t="s">
        <v>5</v>
      </c>
      <c r="E900" s="1" t="s">
        <v>6</v>
      </c>
      <c r="F900" s="7">
        <v>9.6000000000000002E-2</v>
      </c>
      <c r="G900" s="7">
        <v>0</v>
      </c>
      <c r="H900" s="7">
        <v>9.6000000000000002E-2</v>
      </c>
    </row>
    <row r="901" spans="1:8" ht="28.8" x14ac:dyDescent="0.3">
      <c r="A901" s="5">
        <v>621420</v>
      </c>
      <c r="B901" s="5">
        <v>621400</v>
      </c>
      <c r="C901" s="6" t="s">
        <v>958</v>
      </c>
      <c r="D901" s="4" t="s">
        <v>5</v>
      </c>
      <c r="E901" s="1" t="s">
        <v>6</v>
      </c>
      <c r="F901" s="7">
        <v>9.6000000000000002E-2</v>
      </c>
      <c r="G901" s="7">
        <v>0</v>
      </c>
      <c r="H901" s="7">
        <v>9.6000000000000002E-2</v>
      </c>
    </row>
    <row r="902" spans="1:8" ht="28.8" x14ac:dyDescent="0.3">
      <c r="A902" s="5">
        <v>621491</v>
      </c>
      <c r="B902" s="5">
        <v>621400</v>
      </c>
      <c r="C902" s="6" t="s">
        <v>959</v>
      </c>
      <c r="D902" s="4" t="s">
        <v>5</v>
      </c>
      <c r="E902" s="1" t="s">
        <v>6</v>
      </c>
      <c r="F902" s="7">
        <v>9.6000000000000002E-2</v>
      </c>
      <c r="G902" s="7">
        <v>0</v>
      </c>
      <c r="H902" s="7">
        <v>9.6000000000000002E-2</v>
      </c>
    </row>
    <row r="903" spans="1:8" ht="28.8" x14ac:dyDescent="0.3">
      <c r="A903" s="5">
        <v>621492</v>
      </c>
      <c r="B903" s="5">
        <v>621400</v>
      </c>
      <c r="C903" s="6" t="s">
        <v>960</v>
      </c>
      <c r="D903" s="4" t="s">
        <v>5</v>
      </c>
      <c r="E903" s="1" t="s">
        <v>6</v>
      </c>
      <c r="F903" s="7">
        <v>9.6000000000000002E-2</v>
      </c>
      <c r="G903" s="7">
        <v>0</v>
      </c>
      <c r="H903" s="7">
        <v>9.6000000000000002E-2</v>
      </c>
    </row>
    <row r="904" spans="1:8" ht="28.8" x14ac:dyDescent="0.3">
      <c r="A904" s="5">
        <v>621493</v>
      </c>
      <c r="B904" s="5">
        <v>621400</v>
      </c>
      <c r="C904" s="6" t="s">
        <v>961</v>
      </c>
      <c r="D904" s="4" t="s">
        <v>5</v>
      </c>
      <c r="E904" s="1" t="s">
        <v>6</v>
      </c>
      <c r="F904" s="7">
        <v>9.6000000000000002E-2</v>
      </c>
      <c r="G904" s="7">
        <v>0</v>
      </c>
      <c r="H904" s="7">
        <v>9.6000000000000002E-2</v>
      </c>
    </row>
    <row r="905" spans="1:8" ht="28.8" x14ac:dyDescent="0.3">
      <c r="A905" s="5">
        <v>621498</v>
      </c>
      <c r="B905" s="5">
        <v>621400</v>
      </c>
      <c r="C905" s="6" t="s">
        <v>962</v>
      </c>
      <c r="D905" s="4" t="s">
        <v>5</v>
      </c>
      <c r="E905" s="1" t="s">
        <v>6</v>
      </c>
      <c r="F905" s="7">
        <v>9.6000000000000002E-2</v>
      </c>
      <c r="G905" s="7">
        <v>0</v>
      </c>
      <c r="H905" s="7">
        <v>9.6000000000000002E-2</v>
      </c>
    </row>
    <row r="906" spans="1:8" ht="28.8" x14ac:dyDescent="0.3">
      <c r="A906" s="5">
        <v>621511</v>
      </c>
      <c r="B906" s="5">
        <v>621500</v>
      </c>
      <c r="C906" s="6" t="s">
        <v>963</v>
      </c>
      <c r="D906" s="4" t="s">
        <v>5</v>
      </c>
      <c r="E906" s="1" t="s">
        <v>6</v>
      </c>
      <c r="F906" s="7">
        <v>9.1999999999999998E-2</v>
      </c>
      <c r="G906" s="7">
        <v>0</v>
      </c>
      <c r="H906" s="7">
        <v>9.1999999999999998E-2</v>
      </c>
    </row>
    <row r="907" spans="1:8" ht="28.8" x14ac:dyDescent="0.3">
      <c r="A907" s="5">
        <v>621512</v>
      </c>
      <c r="B907" s="5">
        <v>621500</v>
      </c>
      <c r="C907" s="6" t="s">
        <v>964</v>
      </c>
      <c r="D907" s="4" t="s">
        <v>5</v>
      </c>
      <c r="E907" s="1" t="s">
        <v>6</v>
      </c>
      <c r="F907" s="7">
        <v>9.1999999999999998E-2</v>
      </c>
      <c r="G907" s="7">
        <v>0</v>
      </c>
      <c r="H907" s="7">
        <v>9.1999999999999998E-2</v>
      </c>
    </row>
    <row r="908" spans="1:8" ht="28.8" x14ac:dyDescent="0.3">
      <c r="A908" s="5">
        <v>621610</v>
      </c>
      <c r="B908" s="5">
        <v>621600</v>
      </c>
      <c r="C908" s="6" t="s">
        <v>965</v>
      </c>
      <c r="D908" s="4" t="s">
        <v>5</v>
      </c>
      <c r="E908" s="1" t="s">
        <v>6</v>
      </c>
      <c r="F908" s="7">
        <v>0.104</v>
      </c>
      <c r="G908" s="7">
        <v>0</v>
      </c>
      <c r="H908" s="7">
        <v>0.104</v>
      </c>
    </row>
    <row r="909" spans="1:8" ht="28.8" x14ac:dyDescent="0.3">
      <c r="A909" s="5">
        <v>621910</v>
      </c>
      <c r="B909" s="5">
        <v>621900</v>
      </c>
      <c r="C909" s="6" t="s">
        <v>966</v>
      </c>
      <c r="D909" s="4" t="s">
        <v>5</v>
      </c>
      <c r="E909" s="1" t="s">
        <v>6</v>
      </c>
      <c r="F909" s="7">
        <v>0.18</v>
      </c>
      <c r="G909" s="7">
        <v>0</v>
      </c>
      <c r="H909" s="7">
        <v>0.18</v>
      </c>
    </row>
    <row r="910" spans="1:8" ht="28.8" x14ac:dyDescent="0.3">
      <c r="A910" s="5">
        <v>621991</v>
      </c>
      <c r="B910" s="5">
        <v>621900</v>
      </c>
      <c r="C910" s="6" t="s">
        <v>967</v>
      </c>
      <c r="D910" s="4" t="s">
        <v>5</v>
      </c>
      <c r="E910" s="1" t="s">
        <v>6</v>
      </c>
      <c r="F910" s="7">
        <v>0.18</v>
      </c>
      <c r="G910" s="7">
        <v>0</v>
      </c>
      <c r="H910" s="7">
        <v>0.18</v>
      </c>
    </row>
    <row r="911" spans="1:8" ht="28.8" x14ac:dyDescent="0.3">
      <c r="A911" s="5">
        <v>621999</v>
      </c>
      <c r="B911" s="5">
        <v>621900</v>
      </c>
      <c r="C911" s="6" t="s">
        <v>968</v>
      </c>
      <c r="D911" s="4" t="s">
        <v>5</v>
      </c>
      <c r="E911" s="1" t="s">
        <v>6</v>
      </c>
      <c r="F911" s="7">
        <v>0.18</v>
      </c>
      <c r="G911" s="7">
        <v>0</v>
      </c>
      <c r="H911" s="7">
        <v>0.18</v>
      </c>
    </row>
    <row r="912" spans="1:8" ht="28.8" x14ac:dyDescent="0.3">
      <c r="A912" s="5">
        <v>622110</v>
      </c>
      <c r="B912" s="5">
        <v>622000</v>
      </c>
      <c r="C912" s="6" t="s">
        <v>969</v>
      </c>
      <c r="D912" s="4" t="s">
        <v>5</v>
      </c>
      <c r="E912" s="1" t="s">
        <v>6</v>
      </c>
      <c r="F912" s="7">
        <v>0.14499999999999999</v>
      </c>
      <c r="G912" s="7">
        <v>0</v>
      </c>
      <c r="H912" s="7">
        <v>0.14499999999999999</v>
      </c>
    </row>
    <row r="913" spans="1:8" ht="28.8" x14ac:dyDescent="0.3">
      <c r="A913" s="5">
        <v>622210</v>
      </c>
      <c r="B913" s="5">
        <v>622000</v>
      </c>
      <c r="C913" s="6" t="s">
        <v>970</v>
      </c>
      <c r="D913" s="4" t="s">
        <v>5</v>
      </c>
      <c r="E913" s="1" t="s">
        <v>6</v>
      </c>
      <c r="F913" s="7">
        <v>0.14499999999999999</v>
      </c>
      <c r="G913" s="7">
        <v>0</v>
      </c>
      <c r="H913" s="7">
        <v>0.14499999999999999</v>
      </c>
    </row>
    <row r="914" spans="1:8" ht="28.8" x14ac:dyDescent="0.3">
      <c r="A914" s="5">
        <v>622310</v>
      </c>
      <c r="B914" s="5">
        <v>622000</v>
      </c>
      <c r="C914" s="6" t="s">
        <v>971</v>
      </c>
      <c r="D914" s="4" t="s">
        <v>5</v>
      </c>
      <c r="E914" s="1" t="s">
        <v>6</v>
      </c>
      <c r="F914" s="7">
        <v>0.14499999999999999</v>
      </c>
      <c r="G914" s="7">
        <v>0</v>
      </c>
      <c r="H914" s="7">
        <v>0.14499999999999999</v>
      </c>
    </row>
    <row r="915" spans="1:8" ht="28.8" x14ac:dyDescent="0.3">
      <c r="A915" s="5">
        <v>623110</v>
      </c>
      <c r="B915" s="5" t="s">
        <v>973</v>
      </c>
      <c r="C915" s="6" t="s">
        <v>972</v>
      </c>
      <c r="D915" s="4" t="s">
        <v>5</v>
      </c>
      <c r="E915" s="1" t="s">
        <v>6</v>
      </c>
      <c r="F915" s="7">
        <v>0.159</v>
      </c>
      <c r="G915" s="7">
        <v>0</v>
      </c>
      <c r="H915" s="7">
        <v>0.159</v>
      </c>
    </row>
    <row r="916" spans="1:8" ht="28.8" x14ac:dyDescent="0.3">
      <c r="A916" s="5">
        <v>623210</v>
      </c>
      <c r="B916" s="5" t="s">
        <v>975</v>
      </c>
      <c r="C916" s="6" t="s">
        <v>974</v>
      </c>
      <c r="D916" s="4" t="s">
        <v>5</v>
      </c>
      <c r="E916" s="1" t="s">
        <v>6</v>
      </c>
      <c r="F916" s="7">
        <v>0.129</v>
      </c>
      <c r="G916" s="7">
        <v>0</v>
      </c>
      <c r="H916" s="7">
        <v>0.129</v>
      </c>
    </row>
    <row r="917" spans="1:8" ht="28.8" x14ac:dyDescent="0.3">
      <c r="A917" s="5">
        <v>623220</v>
      </c>
      <c r="B917" s="5" t="s">
        <v>975</v>
      </c>
      <c r="C917" s="6" t="s">
        <v>976</v>
      </c>
      <c r="D917" s="4" t="s">
        <v>5</v>
      </c>
      <c r="E917" s="1" t="s">
        <v>6</v>
      </c>
      <c r="F917" s="7">
        <v>0.129</v>
      </c>
      <c r="G917" s="7">
        <v>0</v>
      </c>
      <c r="H917" s="7">
        <v>0.129</v>
      </c>
    </row>
    <row r="918" spans="1:8" ht="28.8" x14ac:dyDescent="0.3">
      <c r="A918" s="5">
        <v>623311</v>
      </c>
      <c r="B918" s="5" t="s">
        <v>973</v>
      </c>
      <c r="C918" s="6" t="s">
        <v>977</v>
      </c>
      <c r="D918" s="4" t="s">
        <v>5</v>
      </c>
      <c r="E918" s="1" t="s">
        <v>6</v>
      </c>
      <c r="F918" s="7">
        <v>0.159</v>
      </c>
      <c r="G918" s="7">
        <v>0</v>
      </c>
      <c r="H918" s="7">
        <v>0.159</v>
      </c>
    </row>
    <row r="919" spans="1:8" ht="28.8" x14ac:dyDescent="0.3">
      <c r="A919" s="5">
        <v>623312</v>
      </c>
      <c r="B919" s="5" t="s">
        <v>973</v>
      </c>
      <c r="C919" s="6" t="s">
        <v>978</v>
      </c>
      <c r="D919" s="4" t="s">
        <v>5</v>
      </c>
      <c r="E919" s="1" t="s">
        <v>6</v>
      </c>
      <c r="F919" s="7">
        <v>0.159</v>
      </c>
      <c r="G919" s="7">
        <v>0</v>
      </c>
      <c r="H919" s="7">
        <v>0.159</v>
      </c>
    </row>
    <row r="920" spans="1:8" ht="28.8" x14ac:dyDescent="0.3">
      <c r="A920" s="5">
        <v>623990</v>
      </c>
      <c r="B920" s="5" t="s">
        <v>975</v>
      </c>
      <c r="C920" s="6" t="s">
        <v>979</v>
      </c>
      <c r="D920" s="4" t="s">
        <v>5</v>
      </c>
      <c r="E920" s="1" t="s">
        <v>6</v>
      </c>
      <c r="F920" s="7">
        <v>0.129</v>
      </c>
      <c r="G920" s="7">
        <v>0</v>
      </c>
      <c r="H920" s="7">
        <v>0.129</v>
      </c>
    </row>
    <row r="921" spans="1:8" ht="28.8" x14ac:dyDescent="0.3">
      <c r="A921" s="5">
        <v>624110</v>
      </c>
      <c r="B921" s="5">
        <v>624100</v>
      </c>
      <c r="C921" s="6" t="s">
        <v>980</v>
      </c>
      <c r="D921" s="4" t="s">
        <v>5</v>
      </c>
      <c r="E921" s="1" t="s">
        <v>6</v>
      </c>
      <c r="F921" s="7">
        <v>0.11799999999999999</v>
      </c>
      <c r="G921" s="7">
        <v>0</v>
      </c>
      <c r="H921" s="7">
        <v>0.11799999999999999</v>
      </c>
    </row>
    <row r="922" spans="1:8" ht="28.8" x14ac:dyDescent="0.3">
      <c r="A922" s="5">
        <v>624120</v>
      </c>
      <c r="B922" s="5">
        <v>624100</v>
      </c>
      <c r="C922" s="6" t="s">
        <v>981</v>
      </c>
      <c r="D922" s="4" t="s">
        <v>5</v>
      </c>
      <c r="E922" s="1" t="s">
        <v>6</v>
      </c>
      <c r="F922" s="7">
        <v>0.11799999999999999</v>
      </c>
      <c r="G922" s="7">
        <v>0</v>
      </c>
      <c r="H922" s="7">
        <v>0.11799999999999999</v>
      </c>
    </row>
    <row r="923" spans="1:8" ht="28.8" x14ac:dyDescent="0.3">
      <c r="A923" s="5">
        <v>624190</v>
      </c>
      <c r="B923" s="5">
        <v>624100</v>
      </c>
      <c r="C923" s="6" t="s">
        <v>982</v>
      </c>
      <c r="D923" s="4" t="s">
        <v>5</v>
      </c>
      <c r="E923" s="1" t="s">
        <v>6</v>
      </c>
      <c r="F923" s="7">
        <v>0.11799999999999999</v>
      </c>
      <c r="G923" s="7">
        <v>0</v>
      </c>
      <c r="H923" s="7">
        <v>0.11799999999999999</v>
      </c>
    </row>
    <row r="924" spans="1:8" ht="28.8" x14ac:dyDescent="0.3">
      <c r="A924" s="5">
        <v>624210</v>
      </c>
      <c r="B924" s="5" t="s">
        <v>984</v>
      </c>
      <c r="C924" s="6" t="s">
        <v>983</v>
      </c>
      <c r="D924" s="4" t="s">
        <v>5</v>
      </c>
      <c r="E924" s="1" t="s">
        <v>6</v>
      </c>
      <c r="F924" s="7">
        <v>0.217</v>
      </c>
      <c r="G924" s="7">
        <v>0</v>
      </c>
      <c r="H924" s="7">
        <v>0.217</v>
      </c>
    </row>
    <row r="925" spans="1:8" ht="28.8" x14ac:dyDescent="0.3">
      <c r="A925" s="5">
        <v>624221</v>
      </c>
      <c r="B925" s="5" t="s">
        <v>984</v>
      </c>
      <c r="C925" s="6" t="s">
        <v>985</v>
      </c>
      <c r="D925" s="4" t="s">
        <v>5</v>
      </c>
      <c r="E925" s="1" t="s">
        <v>6</v>
      </c>
      <c r="F925" s="7">
        <v>0.217</v>
      </c>
      <c r="G925" s="7">
        <v>0</v>
      </c>
      <c r="H925" s="7">
        <v>0.217</v>
      </c>
    </row>
    <row r="926" spans="1:8" ht="28.8" x14ac:dyDescent="0.3">
      <c r="A926" s="5">
        <v>624229</v>
      </c>
      <c r="B926" s="5" t="s">
        <v>984</v>
      </c>
      <c r="C926" s="6" t="s">
        <v>986</v>
      </c>
      <c r="D926" s="4" t="s">
        <v>5</v>
      </c>
      <c r="E926" s="1" t="s">
        <v>6</v>
      </c>
      <c r="F926" s="7">
        <v>0.217</v>
      </c>
      <c r="G926" s="7">
        <v>0</v>
      </c>
      <c r="H926" s="7">
        <v>0.217</v>
      </c>
    </row>
    <row r="927" spans="1:8" ht="28.8" x14ac:dyDescent="0.3">
      <c r="A927" s="5">
        <v>624230</v>
      </c>
      <c r="B927" s="5" t="s">
        <v>984</v>
      </c>
      <c r="C927" s="6" t="s">
        <v>987</v>
      </c>
      <c r="D927" s="4" t="s">
        <v>5</v>
      </c>
      <c r="E927" s="1" t="s">
        <v>6</v>
      </c>
      <c r="F927" s="7">
        <v>0.217</v>
      </c>
      <c r="G927" s="7">
        <v>0</v>
      </c>
      <c r="H927" s="7">
        <v>0.217</v>
      </c>
    </row>
    <row r="928" spans="1:8" ht="28.8" x14ac:dyDescent="0.3">
      <c r="A928" s="5">
        <v>624310</v>
      </c>
      <c r="B928" s="5" t="s">
        <v>984</v>
      </c>
      <c r="C928" s="6" t="s">
        <v>988</v>
      </c>
      <c r="D928" s="4" t="s">
        <v>5</v>
      </c>
      <c r="E928" s="1" t="s">
        <v>6</v>
      </c>
      <c r="F928" s="7">
        <v>0.217</v>
      </c>
      <c r="G928" s="7">
        <v>0</v>
      </c>
      <c r="H928" s="7">
        <v>0.217</v>
      </c>
    </row>
    <row r="929" spans="1:8" ht="28.8" x14ac:dyDescent="0.3">
      <c r="A929" s="5">
        <v>624410</v>
      </c>
      <c r="B929" s="5">
        <v>624400</v>
      </c>
      <c r="C929" s="6" t="s">
        <v>989</v>
      </c>
      <c r="D929" s="4" t="s">
        <v>5</v>
      </c>
      <c r="E929" s="1" t="s">
        <v>6</v>
      </c>
      <c r="F929" s="7">
        <v>0.215</v>
      </c>
      <c r="G929" s="7">
        <v>0</v>
      </c>
      <c r="H929" s="7">
        <v>0.215</v>
      </c>
    </row>
    <row r="930" spans="1:8" ht="28.8" x14ac:dyDescent="0.3">
      <c r="A930" s="5">
        <v>711110</v>
      </c>
      <c r="B930" s="5">
        <v>711100</v>
      </c>
      <c r="C930" s="6" t="s">
        <v>990</v>
      </c>
      <c r="D930" s="4" t="s">
        <v>5</v>
      </c>
      <c r="E930" s="1" t="s">
        <v>6</v>
      </c>
      <c r="F930" s="7">
        <v>8.5999999999999993E-2</v>
      </c>
      <c r="G930" s="7">
        <v>0</v>
      </c>
      <c r="H930" s="7">
        <v>8.5999999999999993E-2</v>
      </c>
    </row>
    <row r="931" spans="1:8" ht="28.8" x14ac:dyDescent="0.3">
      <c r="A931" s="5">
        <v>711120</v>
      </c>
      <c r="B931" s="5">
        <v>711100</v>
      </c>
      <c r="C931" s="6" t="s">
        <v>991</v>
      </c>
      <c r="D931" s="4" t="s">
        <v>5</v>
      </c>
      <c r="E931" s="1" t="s">
        <v>6</v>
      </c>
      <c r="F931" s="7">
        <v>8.5999999999999993E-2</v>
      </c>
      <c r="G931" s="7">
        <v>0</v>
      </c>
      <c r="H931" s="7">
        <v>8.5999999999999993E-2</v>
      </c>
    </row>
    <row r="932" spans="1:8" ht="28.8" x14ac:dyDescent="0.3">
      <c r="A932" s="5">
        <v>711130</v>
      </c>
      <c r="B932" s="5">
        <v>711100</v>
      </c>
      <c r="C932" s="6" t="s">
        <v>992</v>
      </c>
      <c r="D932" s="4" t="s">
        <v>5</v>
      </c>
      <c r="E932" s="1" t="s">
        <v>6</v>
      </c>
      <c r="F932" s="7">
        <v>8.5999999999999993E-2</v>
      </c>
      <c r="G932" s="7">
        <v>0</v>
      </c>
      <c r="H932" s="7">
        <v>8.5999999999999993E-2</v>
      </c>
    </row>
    <row r="933" spans="1:8" ht="28.8" x14ac:dyDescent="0.3">
      <c r="A933" s="5">
        <v>711190</v>
      </c>
      <c r="B933" s="5">
        <v>711100</v>
      </c>
      <c r="C933" s="6" t="s">
        <v>993</v>
      </c>
      <c r="D933" s="4" t="s">
        <v>5</v>
      </c>
      <c r="E933" s="1" t="s">
        <v>6</v>
      </c>
      <c r="F933" s="7">
        <v>8.5999999999999993E-2</v>
      </c>
      <c r="G933" s="7">
        <v>0</v>
      </c>
      <c r="H933" s="7">
        <v>8.5999999999999993E-2</v>
      </c>
    </row>
    <row r="934" spans="1:8" ht="28.8" x14ac:dyDescent="0.3">
      <c r="A934" s="5">
        <v>711211</v>
      </c>
      <c r="B934" s="5">
        <v>711200</v>
      </c>
      <c r="C934" s="6" t="s">
        <v>994</v>
      </c>
      <c r="D934" s="4" t="s">
        <v>5</v>
      </c>
      <c r="E934" s="1" t="s">
        <v>6</v>
      </c>
      <c r="F934" s="7">
        <v>6.7000000000000004E-2</v>
      </c>
      <c r="G934" s="7">
        <v>0</v>
      </c>
      <c r="H934" s="7">
        <v>6.7000000000000004E-2</v>
      </c>
    </row>
    <row r="935" spans="1:8" ht="28.8" x14ac:dyDescent="0.3">
      <c r="A935" s="5">
        <v>711212</v>
      </c>
      <c r="B935" s="5">
        <v>711200</v>
      </c>
      <c r="C935" s="6" t="s">
        <v>995</v>
      </c>
      <c r="D935" s="4" t="s">
        <v>5</v>
      </c>
      <c r="E935" s="1" t="s">
        <v>6</v>
      </c>
      <c r="F935" s="7">
        <v>6.7000000000000004E-2</v>
      </c>
      <c r="G935" s="7">
        <v>0</v>
      </c>
      <c r="H935" s="7">
        <v>6.7000000000000004E-2</v>
      </c>
    </row>
    <row r="936" spans="1:8" ht="28.8" x14ac:dyDescent="0.3">
      <c r="A936" s="5">
        <v>711219</v>
      </c>
      <c r="B936" s="5">
        <v>711200</v>
      </c>
      <c r="C936" s="6" t="s">
        <v>996</v>
      </c>
      <c r="D936" s="4" t="s">
        <v>5</v>
      </c>
      <c r="E936" s="1" t="s">
        <v>6</v>
      </c>
      <c r="F936" s="7">
        <v>6.7000000000000004E-2</v>
      </c>
      <c r="G936" s="7">
        <v>0</v>
      </c>
      <c r="H936" s="7">
        <v>6.7000000000000004E-2</v>
      </c>
    </row>
    <row r="937" spans="1:8" ht="28.8" x14ac:dyDescent="0.3">
      <c r="A937" s="5">
        <v>711310</v>
      </c>
      <c r="B937" s="5" t="s">
        <v>998</v>
      </c>
      <c r="C937" s="6" t="s">
        <v>997</v>
      </c>
      <c r="D937" s="4" t="s">
        <v>5</v>
      </c>
      <c r="E937" s="1" t="s">
        <v>6</v>
      </c>
      <c r="F937" s="7">
        <v>9.2999999999999999E-2</v>
      </c>
      <c r="G937" s="7">
        <v>0</v>
      </c>
      <c r="H937" s="7">
        <v>9.2999999999999999E-2</v>
      </c>
    </row>
    <row r="938" spans="1:8" ht="28.8" x14ac:dyDescent="0.3">
      <c r="A938" s="5">
        <v>711320</v>
      </c>
      <c r="B938" s="5" t="s">
        <v>998</v>
      </c>
      <c r="C938" s="6" t="s">
        <v>999</v>
      </c>
      <c r="D938" s="4" t="s">
        <v>5</v>
      </c>
      <c r="E938" s="1" t="s">
        <v>6</v>
      </c>
      <c r="F938" s="7">
        <v>9.2999999999999999E-2</v>
      </c>
      <c r="G938" s="7">
        <v>0</v>
      </c>
      <c r="H938" s="7">
        <v>9.2999999999999999E-2</v>
      </c>
    </row>
    <row r="939" spans="1:8" ht="28.8" x14ac:dyDescent="0.3">
      <c r="A939" s="5">
        <v>711410</v>
      </c>
      <c r="B939" s="5" t="s">
        <v>998</v>
      </c>
      <c r="C939" s="6" t="s">
        <v>1000</v>
      </c>
      <c r="D939" s="4" t="s">
        <v>5</v>
      </c>
      <c r="E939" s="1" t="s">
        <v>6</v>
      </c>
      <c r="F939" s="7">
        <v>9.2999999999999999E-2</v>
      </c>
      <c r="G939" s="7">
        <v>0</v>
      </c>
      <c r="H939" s="7">
        <v>9.2999999999999999E-2</v>
      </c>
    </row>
    <row r="940" spans="1:8" ht="28.8" x14ac:dyDescent="0.3">
      <c r="A940" s="5">
        <v>711510</v>
      </c>
      <c r="B940" s="5">
        <v>711500</v>
      </c>
      <c r="C940" s="6" t="s">
        <v>1001</v>
      </c>
      <c r="D940" s="4" t="s">
        <v>5</v>
      </c>
      <c r="E940" s="1" t="s">
        <v>6</v>
      </c>
      <c r="F940" s="7">
        <v>3.3000000000000002E-2</v>
      </c>
      <c r="G940" s="7">
        <v>0</v>
      </c>
      <c r="H940" s="7">
        <v>3.3000000000000002E-2</v>
      </c>
    </row>
    <row r="941" spans="1:8" ht="28.8" x14ac:dyDescent="0.3">
      <c r="A941" s="5">
        <v>712110</v>
      </c>
      <c r="B941" s="5">
        <v>712000</v>
      </c>
      <c r="C941" s="6" t="s">
        <v>1002</v>
      </c>
      <c r="D941" s="4" t="s">
        <v>5</v>
      </c>
      <c r="E941" s="1" t="s">
        <v>6</v>
      </c>
      <c r="F941" s="7">
        <v>0.13600000000000001</v>
      </c>
      <c r="G941" s="7">
        <v>0</v>
      </c>
      <c r="H941" s="7">
        <v>0.13600000000000001</v>
      </c>
    </row>
    <row r="942" spans="1:8" ht="28.8" x14ac:dyDescent="0.3">
      <c r="A942" s="5">
        <v>712120</v>
      </c>
      <c r="B942" s="5">
        <v>712000</v>
      </c>
      <c r="C942" s="6" t="s">
        <v>1003</v>
      </c>
      <c r="D942" s="4" t="s">
        <v>5</v>
      </c>
      <c r="E942" s="1" t="s">
        <v>6</v>
      </c>
      <c r="F942" s="7">
        <v>0.13600000000000001</v>
      </c>
      <c r="G942" s="7">
        <v>0</v>
      </c>
      <c r="H942" s="7">
        <v>0.13600000000000001</v>
      </c>
    </row>
    <row r="943" spans="1:8" ht="28.8" x14ac:dyDescent="0.3">
      <c r="A943" s="5">
        <v>712130</v>
      </c>
      <c r="B943" s="5">
        <v>712000</v>
      </c>
      <c r="C943" s="6" t="s">
        <v>1004</v>
      </c>
      <c r="D943" s="4" t="s">
        <v>5</v>
      </c>
      <c r="E943" s="1" t="s">
        <v>6</v>
      </c>
      <c r="F943" s="7">
        <v>0.13600000000000001</v>
      </c>
      <c r="G943" s="7">
        <v>0</v>
      </c>
      <c r="H943" s="7">
        <v>0.13600000000000001</v>
      </c>
    </row>
    <row r="944" spans="1:8" ht="28.8" x14ac:dyDescent="0.3">
      <c r="A944" s="5">
        <v>712190</v>
      </c>
      <c r="B944" s="5">
        <v>712000</v>
      </c>
      <c r="C944" s="6" t="s">
        <v>1005</v>
      </c>
      <c r="D944" s="4" t="s">
        <v>5</v>
      </c>
      <c r="E944" s="1" t="s">
        <v>6</v>
      </c>
      <c r="F944" s="7">
        <v>0.13600000000000001</v>
      </c>
      <c r="G944" s="7">
        <v>0</v>
      </c>
      <c r="H944" s="7">
        <v>0.13600000000000001</v>
      </c>
    </row>
    <row r="945" spans="1:8" ht="28.8" x14ac:dyDescent="0.3">
      <c r="A945" s="5">
        <v>713110</v>
      </c>
      <c r="B945" s="5">
        <v>713100</v>
      </c>
      <c r="C945" s="6" t="s">
        <v>1006</v>
      </c>
      <c r="D945" s="4" t="s">
        <v>5</v>
      </c>
      <c r="E945" s="1" t="s">
        <v>6</v>
      </c>
      <c r="F945" s="7">
        <v>0.16700000000000001</v>
      </c>
      <c r="G945" s="7">
        <v>0</v>
      </c>
      <c r="H945" s="7">
        <v>0.16700000000000001</v>
      </c>
    </row>
    <row r="946" spans="1:8" ht="28.8" x14ac:dyDescent="0.3">
      <c r="A946" s="5">
        <v>713120</v>
      </c>
      <c r="B946" s="5">
        <v>713100</v>
      </c>
      <c r="C946" s="6" t="s">
        <v>1007</v>
      </c>
      <c r="D946" s="4" t="s">
        <v>5</v>
      </c>
      <c r="E946" s="1" t="s">
        <v>6</v>
      </c>
      <c r="F946" s="7">
        <v>0.16700000000000001</v>
      </c>
      <c r="G946" s="7">
        <v>0</v>
      </c>
      <c r="H946" s="7">
        <v>0.16700000000000001</v>
      </c>
    </row>
    <row r="947" spans="1:8" ht="28.8" x14ac:dyDescent="0.3">
      <c r="A947" s="5">
        <v>713210</v>
      </c>
      <c r="B947" s="5">
        <v>713200</v>
      </c>
      <c r="C947" s="6" t="s">
        <v>1008</v>
      </c>
      <c r="D947" s="4" t="s">
        <v>5</v>
      </c>
      <c r="E947" s="1" t="s">
        <v>6</v>
      </c>
      <c r="F947" s="7">
        <v>0.17399999999999999</v>
      </c>
      <c r="G947" s="7">
        <v>0</v>
      </c>
      <c r="H947" s="7">
        <v>0.17399999999999999</v>
      </c>
    </row>
    <row r="948" spans="1:8" ht="28.8" x14ac:dyDescent="0.3">
      <c r="A948" s="5">
        <v>713290</v>
      </c>
      <c r="B948" s="5">
        <v>713200</v>
      </c>
      <c r="C948" s="6" t="s">
        <v>1009</v>
      </c>
      <c r="D948" s="4" t="s">
        <v>5</v>
      </c>
      <c r="E948" s="1" t="s">
        <v>6</v>
      </c>
      <c r="F948" s="7">
        <v>0.17399999999999999</v>
      </c>
      <c r="G948" s="7">
        <v>0</v>
      </c>
      <c r="H948" s="7">
        <v>0.17399999999999999</v>
      </c>
    </row>
    <row r="949" spans="1:8" ht="28.8" x14ac:dyDescent="0.3">
      <c r="A949" s="5">
        <v>713910</v>
      </c>
      <c r="B949" s="5">
        <v>713900</v>
      </c>
      <c r="C949" s="6" t="s">
        <v>1010</v>
      </c>
      <c r="D949" s="4" t="s">
        <v>5</v>
      </c>
      <c r="E949" s="1" t="s">
        <v>6</v>
      </c>
      <c r="F949" s="7">
        <v>0.23499999999999999</v>
      </c>
      <c r="G949" s="7">
        <v>0</v>
      </c>
      <c r="H949" s="7">
        <v>0.23499999999999999</v>
      </c>
    </row>
    <row r="950" spans="1:8" ht="28.8" x14ac:dyDescent="0.3">
      <c r="A950" s="5">
        <v>713920</v>
      </c>
      <c r="B950" s="5">
        <v>713900</v>
      </c>
      <c r="C950" s="6" t="s">
        <v>1011</v>
      </c>
      <c r="D950" s="4" t="s">
        <v>5</v>
      </c>
      <c r="E950" s="1" t="s">
        <v>6</v>
      </c>
      <c r="F950" s="7">
        <v>0.23499999999999999</v>
      </c>
      <c r="G950" s="7">
        <v>0</v>
      </c>
      <c r="H950" s="7">
        <v>0.23499999999999999</v>
      </c>
    </row>
    <row r="951" spans="1:8" ht="28.8" x14ac:dyDescent="0.3">
      <c r="A951" s="5">
        <v>713930</v>
      </c>
      <c r="B951" s="5">
        <v>713900</v>
      </c>
      <c r="C951" s="6" t="s">
        <v>1012</v>
      </c>
      <c r="D951" s="4" t="s">
        <v>5</v>
      </c>
      <c r="E951" s="1" t="s">
        <v>6</v>
      </c>
      <c r="F951" s="7">
        <v>0.23499999999999999</v>
      </c>
      <c r="G951" s="7">
        <v>0</v>
      </c>
      <c r="H951" s="7">
        <v>0.23499999999999999</v>
      </c>
    </row>
    <row r="952" spans="1:8" ht="28.8" x14ac:dyDescent="0.3">
      <c r="A952" s="5">
        <v>713940</v>
      </c>
      <c r="B952" s="5">
        <v>713900</v>
      </c>
      <c r="C952" s="6" t="s">
        <v>1013</v>
      </c>
      <c r="D952" s="4" t="s">
        <v>5</v>
      </c>
      <c r="E952" s="1" t="s">
        <v>6</v>
      </c>
      <c r="F952" s="7">
        <v>0.23499999999999999</v>
      </c>
      <c r="G952" s="7">
        <v>0</v>
      </c>
      <c r="H952" s="7">
        <v>0.23499999999999999</v>
      </c>
    </row>
    <row r="953" spans="1:8" ht="28.8" x14ac:dyDescent="0.3">
      <c r="A953" s="5">
        <v>713950</v>
      </c>
      <c r="B953" s="5">
        <v>713900</v>
      </c>
      <c r="C953" s="6" t="s">
        <v>1014</v>
      </c>
      <c r="D953" s="4" t="s">
        <v>5</v>
      </c>
      <c r="E953" s="1" t="s">
        <v>6</v>
      </c>
      <c r="F953" s="7">
        <v>0.23499999999999999</v>
      </c>
      <c r="G953" s="7">
        <v>0</v>
      </c>
      <c r="H953" s="7">
        <v>0.23499999999999999</v>
      </c>
    </row>
    <row r="954" spans="1:8" ht="28.8" x14ac:dyDescent="0.3">
      <c r="A954" s="5">
        <v>713990</v>
      </c>
      <c r="B954" s="5">
        <v>713900</v>
      </c>
      <c r="C954" s="6" t="s">
        <v>1015</v>
      </c>
      <c r="D954" s="4" t="s">
        <v>5</v>
      </c>
      <c r="E954" s="1" t="s">
        <v>6</v>
      </c>
      <c r="F954" s="7">
        <v>0.23499999999999999</v>
      </c>
      <c r="G954" s="7">
        <v>0</v>
      </c>
      <c r="H954" s="7">
        <v>0.23499999999999999</v>
      </c>
    </row>
    <row r="955" spans="1:8" ht="28.8" x14ac:dyDescent="0.3">
      <c r="A955" s="5">
        <v>721110</v>
      </c>
      <c r="B955" s="5">
        <v>721000</v>
      </c>
      <c r="C955" s="6" t="s">
        <v>1016</v>
      </c>
      <c r="D955" s="4" t="s">
        <v>5</v>
      </c>
      <c r="E955" s="1" t="s">
        <v>6</v>
      </c>
      <c r="F955" s="7">
        <v>0.14499999999999999</v>
      </c>
      <c r="G955" s="7">
        <v>0</v>
      </c>
      <c r="H955" s="7">
        <v>0.14499999999999999</v>
      </c>
    </row>
    <row r="956" spans="1:8" ht="28.8" x14ac:dyDescent="0.3">
      <c r="A956" s="5">
        <v>721120</v>
      </c>
      <c r="B956" s="5">
        <v>721000</v>
      </c>
      <c r="C956" s="6" t="s">
        <v>1017</v>
      </c>
      <c r="D956" s="4" t="s">
        <v>5</v>
      </c>
      <c r="E956" s="1" t="s">
        <v>6</v>
      </c>
      <c r="F956" s="7">
        <v>0.14499999999999999</v>
      </c>
      <c r="G956" s="7">
        <v>0</v>
      </c>
      <c r="H956" s="7">
        <v>0.14499999999999999</v>
      </c>
    </row>
    <row r="957" spans="1:8" ht="28.8" x14ac:dyDescent="0.3">
      <c r="A957" s="5">
        <v>721191</v>
      </c>
      <c r="B957" s="5">
        <v>721000</v>
      </c>
      <c r="C957" s="6" t="s">
        <v>1018</v>
      </c>
      <c r="D957" s="4" t="s">
        <v>5</v>
      </c>
      <c r="E957" s="1" t="s">
        <v>6</v>
      </c>
      <c r="F957" s="7">
        <v>0.14499999999999999</v>
      </c>
      <c r="G957" s="7">
        <v>0</v>
      </c>
      <c r="H957" s="7">
        <v>0.14499999999999999</v>
      </c>
    </row>
    <row r="958" spans="1:8" ht="28.8" x14ac:dyDescent="0.3">
      <c r="A958" s="5">
        <v>721199</v>
      </c>
      <c r="B958" s="5">
        <v>721000</v>
      </c>
      <c r="C958" s="6" t="s">
        <v>1019</v>
      </c>
      <c r="D958" s="4" t="s">
        <v>5</v>
      </c>
      <c r="E958" s="1" t="s">
        <v>6</v>
      </c>
      <c r="F958" s="7">
        <v>0.14499999999999999</v>
      </c>
      <c r="G958" s="7">
        <v>0</v>
      </c>
      <c r="H958" s="7">
        <v>0.14499999999999999</v>
      </c>
    </row>
    <row r="959" spans="1:8" ht="28.8" x14ac:dyDescent="0.3">
      <c r="A959" s="5">
        <v>721211</v>
      </c>
      <c r="B959" s="5">
        <v>721000</v>
      </c>
      <c r="C959" s="6" t="s">
        <v>1020</v>
      </c>
      <c r="D959" s="4" t="s">
        <v>5</v>
      </c>
      <c r="E959" s="1" t="s">
        <v>6</v>
      </c>
      <c r="F959" s="7">
        <v>0.14499999999999999</v>
      </c>
      <c r="G959" s="7">
        <v>0</v>
      </c>
      <c r="H959" s="7">
        <v>0.14499999999999999</v>
      </c>
    </row>
    <row r="960" spans="1:8" ht="28.8" x14ac:dyDescent="0.3">
      <c r="A960" s="5">
        <v>721214</v>
      </c>
      <c r="B960" s="5">
        <v>721000</v>
      </c>
      <c r="C960" s="6" t="s">
        <v>1021</v>
      </c>
      <c r="D960" s="4" t="s">
        <v>5</v>
      </c>
      <c r="E960" s="1" t="s">
        <v>6</v>
      </c>
      <c r="F960" s="7">
        <v>0.14499999999999999</v>
      </c>
      <c r="G960" s="7">
        <v>0</v>
      </c>
      <c r="H960" s="7">
        <v>0.14499999999999999</v>
      </c>
    </row>
    <row r="961" spans="1:8" ht="28.8" x14ac:dyDescent="0.3">
      <c r="A961" s="5">
        <v>721310</v>
      </c>
      <c r="B961" s="5">
        <v>721000</v>
      </c>
      <c r="C961" s="6" t="s">
        <v>1022</v>
      </c>
      <c r="D961" s="4" t="s">
        <v>5</v>
      </c>
      <c r="E961" s="1" t="s">
        <v>6</v>
      </c>
      <c r="F961" s="7">
        <v>0.14499999999999999</v>
      </c>
      <c r="G961" s="7">
        <v>0</v>
      </c>
      <c r="H961" s="7">
        <v>0.14499999999999999</v>
      </c>
    </row>
    <row r="962" spans="1:8" ht="28.8" x14ac:dyDescent="0.3">
      <c r="A962" s="5">
        <v>722310</v>
      </c>
      <c r="B962" s="5" t="s">
        <v>1024</v>
      </c>
      <c r="C962" s="6" t="s">
        <v>1023</v>
      </c>
      <c r="D962" s="4" t="s">
        <v>5</v>
      </c>
      <c r="E962" s="1" t="s">
        <v>6</v>
      </c>
      <c r="F962" s="7">
        <v>0.13200000000000001</v>
      </c>
      <c r="G962" s="7">
        <v>0</v>
      </c>
      <c r="H962" s="7">
        <v>0.13200000000000001</v>
      </c>
    </row>
    <row r="963" spans="1:8" ht="28.8" x14ac:dyDescent="0.3">
      <c r="A963" s="5">
        <v>722320</v>
      </c>
      <c r="B963" s="5" t="s">
        <v>1024</v>
      </c>
      <c r="C963" s="6" t="s">
        <v>1025</v>
      </c>
      <c r="D963" s="4" t="s">
        <v>5</v>
      </c>
      <c r="E963" s="1" t="s">
        <v>6</v>
      </c>
      <c r="F963" s="7">
        <v>0.13200000000000001</v>
      </c>
      <c r="G963" s="7">
        <v>0</v>
      </c>
      <c r="H963" s="7">
        <v>0.13200000000000001</v>
      </c>
    </row>
    <row r="964" spans="1:8" ht="28.8" x14ac:dyDescent="0.3">
      <c r="A964" s="5">
        <v>722330</v>
      </c>
      <c r="B964" s="5" t="s">
        <v>1024</v>
      </c>
      <c r="C964" s="6" t="s">
        <v>1026</v>
      </c>
      <c r="D964" s="4" t="s">
        <v>5</v>
      </c>
      <c r="E964" s="1" t="s">
        <v>6</v>
      </c>
      <c r="F964" s="7">
        <v>0.13200000000000001</v>
      </c>
      <c r="G964" s="7">
        <v>0</v>
      </c>
      <c r="H964" s="7">
        <v>0.13200000000000001</v>
      </c>
    </row>
    <row r="965" spans="1:8" ht="28.8" x14ac:dyDescent="0.3">
      <c r="A965" s="5">
        <v>722410</v>
      </c>
      <c r="B965" s="5" t="s">
        <v>1024</v>
      </c>
      <c r="C965" s="6" t="s">
        <v>1027</v>
      </c>
      <c r="D965" s="4" t="s">
        <v>5</v>
      </c>
      <c r="E965" s="1" t="s">
        <v>6</v>
      </c>
      <c r="F965" s="7">
        <v>0.13200000000000001</v>
      </c>
      <c r="G965" s="7">
        <v>0</v>
      </c>
      <c r="H965" s="7">
        <v>0.13200000000000001</v>
      </c>
    </row>
    <row r="966" spans="1:8" ht="28.8" x14ac:dyDescent="0.3">
      <c r="A966" s="5">
        <v>722511</v>
      </c>
      <c r="B966" s="5">
        <v>722110</v>
      </c>
      <c r="C966" s="6" t="s">
        <v>1028</v>
      </c>
      <c r="D966" s="4" t="s">
        <v>5</v>
      </c>
      <c r="E966" s="1" t="s">
        <v>6</v>
      </c>
      <c r="F966" s="7">
        <v>0.19400000000000001</v>
      </c>
      <c r="G966" s="7">
        <v>0</v>
      </c>
      <c r="H966" s="7">
        <v>0.19400000000000001</v>
      </c>
    </row>
    <row r="967" spans="1:8" ht="28.8" x14ac:dyDescent="0.3">
      <c r="A967" s="5">
        <v>722513</v>
      </c>
      <c r="B967" s="5">
        <v>722211</v>
      </c>
      <c r="C967" s="6" t="s">
        <v>1029</v>
      </c>
      <c r="D967" s="4" t="s">
        <v>5</v>
      </c>
      <c r="E967" s="1" t="s">
        <v>6</v>
      </c>
      <c r="F967" s="7">
        <v>0.255</v>
      </c>
      <c r="G967" s="7">
        <v>0</v>
      </c>
      <c r="H967" s="7">
        <v>0.255</v>
      </c>
    </row>
    <row r="968" spans="1:8" ht="28.8" x14ac:dyDescent="0.3">
      <c r="A968" s="5">
        <v>722514</v>
      </c>
      <c r="B968" s="5" t="s">
        <v>1024</v>
      </c>
      <c r="C968" s="6" t="s">
        <v>1030</v>
      </c>
      <c r="D968" s="4" t="s">
        <v>5</v>
      </c>
      <c r="E968" s="1" t="s">
        <v>6</v>
      </c>
      <c r="F968" s="7">
        <v>0.13200000000000001</v>
      </c>
      <c r="G968" s="7">
        <v>0</v>
      </c>
      <c r="H968" s="7">
        <v>0.13200000000000001</v>
      </c>
    </row>
    <row r="969" spans="1:8" ht="28.8" x14ac:dyDescent="0.3">
      <c r="A969" s="5">
        <v>722515</v>
      </c>
      <c r="B969" s="5" t="s">
        <v>1024</v>
      </c>
      <c r="C969" s="6" t="s">
        <v>1031</v>
      </c>
      <c r="D969" s="4" t="s">
        <v>5</v>
      </c>
      <c r="E969" s="1" t="s">
        <v>6</v>
      </c>
      <c r="F969" s="7">
        <v>0.13200000000000001</v>
      </c>
      <c r="G969" s="7">
        <v>0</v>
      </c>
      <c r="H969" s="7">
        <v>0.13200000000000001</v>
      </c>
    </row>
    <row r="970" spans="1:8" ht="28.8" x14ac:dyDescent="0.3">
      <c r="A970" s="5">
        <v>811111</v>
      </c>
      <c r="B970" s="5">
        <v>811100</v>
      </c>
      <c r="C970" s="6" t="s">
        <v>1032</v>
      </c>
      <c r="D970" s="4" t="s">
        <v>5</v>
      </c>
      <c r="E970" s="1" t="s">
        <v>6</v>
      </c>
      <c r="F970" s="7">
        <v>0.10299999999999999</v>
      </c>
      <c r="G970" s="7">
        <v>0</v>
      </c>
      <c r="H970" s="7">
        <v>0.10299999999999999</v>
      </c>
    </row>
    <row r="971" spans="1:8" ht="28.8" x14ac:dyDescent="0.3">
      <c r="A971" s="5">
        <v>811112</v>
      </c>
      <c r="B971" s="5">
        <v>811100</v>
      </c>
      <c r="C971" s="6" t="s">
        <v>1033</v>
      </c>
      <c r="D971" s="4" t="s">
        <v>5</v>
      </c>
      <c r="E971" s="1" t="s">
        <v>6</v>
      </c>
      <c r="F971" s="7">
        <v>0.10299999999999999</v>
      </c>
      <c r="G971" s="7">
        <v>0</v>
      </c>
      <c r="H971" s="7">
        <v>0.10299999999999999</v>
      </c>
    </row>
    <row r="972" spans="1:8" ht="28.8" x14ac:dyDescent="0.3">
      <c r="A972" s="5">
        <v>811113</v>
      </c>
      <c r="B972" s="5">
        <v>811100</v>
      </c>
      <c r="C972" s="6" t="s">
        <v>1034</v>
      </c>
      <c r="D972" s="4" t="s">
        <v>5</v>
      </c>
      <c r="E972" s="1" t="s">
        <v>6</v>
      </c>
      <c r="F972" s="7">
        <v>0.10299999999999999</v>
      </c>
      <c r="G972" s="7">
        <v>0</v>
      </c>
      <c r="H972" s="7">
        <v>0.10299999999999999</v>
      </c>
    </row>
    <row r="973" spans="1:8" ht="28.8" x14ac:dyDescent="0.3">
      <c r="A973" s="5">
        <v>811118</v>
      </c>
      <c r="B973" s="5">
        <v>811100</v>
      </c>
      <c r="C973" s="6" t="s">
        <v>1035</v>
      </c>
      <c r="D973" s="4" t="s">
        <v>5</v>
      </c>
      <c r="E973" s="1" t="s">
        <v>6</v>
      </c>
      <c r="F973" s="7">
        <v>0.10299999999999999</v>
      </c>
      <c r="G973" s="7">
        <v>0</v>
      </c>
      <c r="H973" s="7">
        <v>0.10299999999999999</v>
      </c>
    </row>
    <row r="974" spans="1:8" ht="28.8" x14ac:dyDescent="0.3">
      <c r="A974" s="5">
        <v>811121</v>
      </c>
      <c r="B974" s="5">
        <v>811100</v>
      </c>
      <c r="C974" s="6" t="s">
        <v>1036</v>
      </c>
      <c r="D974" s="4" t="s">
        <v>5</v>
      </c>
      <c r="E974" s="1" t="s">
        <v>6</v>
      </c>
      <c r="F974" s="7">
        <v>0.10299999999999999</v>
      </c>
      <c r="G974" s="7">
        <v>0</v>
      </c>
      <c r="H974" s="7">
        <v>0.10299999999999999</v>
      </c>
    </row>
    <row r="975" spans="1:8" ht="28.8" x14ac:dyDescent="0.3">
      <c r="A975" s="5">
        <v>811122</v>
      </c>
      <c r="B975" s="5">
        <v>811100</v>
      </c>
      <c r="C975" s="6" t="s">
        <v>1037</v>
      </c>
      <c r="D975" s="4" t="s">
        <v>5</v>
      </c>
      <c r="E975" s="1" t="s">
        <v>6</v>
      </c>
      <c r="F975" s="7">
        <v>0.10299999999999999</v>
      </c>
      <c r="G975" s="7">
        <v>0</v>
      </c>
      <c r="H975" s="7">
        <v>0.10299999999999999</v>
      </c>
    </row>
    <row r="976" spans="1:8" ht="28.8" x14ac:dyDescent="0.3">
      <c r="A976" s="5">
        <v>811191</v>
      </c>
      <c r="B976" s="5">
        <v>811100</v>
      </c>
      <c r="C976" s="6" t="s">
        <v>1038</v>
      </c>
      <c r="D976" s="4" t="s">
        <v>5</v>
      </c>
      <c r="E976" s="1" t="s">
        <v>6</v>
      </c>
      <c r="F976" s="7">
        <v>0.10299999999999999</v>
      </c>
      <c r="G976" s="7">
        <v>0</v>
      </c>
      <c r="H976" s="7">
        <v>0.10299999999999999</v>
      </c>
    </row>
    <row r="977" spans="1:8" ht="28.8" x14ac:dyDescent="0.3">
      <c r="A977" s="5">
        <v>811192</v>
      </c>
      <c r="B977" s="5">
        <v>811100</v>
      </c>
      <c r="C977" s="6" t="s">
        <v>1039</v>
      </c>
      <c r="D977" s="4" t="s">
        <v>5</v>
      </c>
      <c r="E977" s="1" t="s">
        <v>6</v>
      </c>
      <c r="F977" s="7">
        <v>0.10299999999999999</v>
      </c>
      <c r="G977" s="7">
        <v>0</v>
      </c>
      <c r="H977" s="7">
        <v>0.10299999999999999</v>
      </c>
    </row>
    <row r="978" spans="1:8" ht="28.8" x14ac:dyDescent="0.3">
      <c r="A978" s="5">
        <v>811198</v>
      </c>
      <c r="B978" s="5">
        <v>811100</v>
      </c>
      <c r="C978" s="6" t="s">
        <v>1040</v>
      </c>
      <c r="D978" s="4" t="s">
        <v>5</v>
      </c>
      <c r="E978" s="1" t="s">
        <v>6</v>
      </c>
      <c r="F978" s="7">
        <v>0.10299999999999999</v>
      </c>
      <c r="G978" s="7">
        <v>0</v>
      </c>
      <c r="H978" s="7">
        <v>0.10299999999999999</v>
      </c>
    </row>
    <row r="979" spans="1:8" ht="28.8" x14ac:dyDescent="0.3">
      <c r="A979" s="5">
        <v>811211</v>
      </c>
      <c r="B979" s="5">
        <v>811200</v>
      </c>
      <c r="C979" s="6" t="s">
        <v>1041</v>
      </c>
      <c r="D979" s="4" t="s">
        <v>5</v>
      </c>
      <c r="E979" s="1" t="s">
        <v>6</v>
      </c>
      <c r="F979" s="7">
        <v>7.5999999999999998E-2</v>
      </c>
      <c r="G979" s="7">
        <v>0</v>
      </c>
      <c r="H979" s="7">
        <v>7.5999999999999998E-2</v>
      </c>
    </row>
    <row r="980" spans="1:8" ht="28.8" x14ac:dyDescent="0.3">
      <c r="A980" s="5">
        <v>811212</v>
      </c>
      <c r="B980" s="5">
        <v>811200</v>
      </c>
      <c r="C980" s="6" t="s">
        <v>1042</v>
      </c>
      <c r="D980" s="4" t="s">
        <v>5</v>
      </c>
      <c r="E980" s="1" t="s">
        <v>6</v>
      </c>
      <c r="F980" s="7">
        <v>7.5999999999999998E-2</v>
      </c>
      <c r="G980" s="7">
        <v>0</v>
      </c>
      <c r="H980" s="7">
        <v>7.5999999999999998E-2</v>
      </c>
    </row>
    <row r="981" spans="1:8" ht="28.8" x14ac:dyDescent="0.3">
      <c r="A981" s="5">
        <v>811213</v>
      </c>
      <c r="B981" s="5">
        <v>811200</v>
      </c>
      <c r="C981" s="6" t="s">
        <v>1043</v>
      </c>
      <c r="D981" s="4" t="s">
        <v>5</v>
      </c>
      <c r="E981" s="1" t="s">
        <v>6</v>
      </c>
      <c r="F981" s="7">
        <v>7.5999999999999998E-2</v>
      </c>
      <c r="G981" s="7">
        <v>0</v>
      </c>
      <c r="H981" s="7">
        <v>7.5999999999999998E-2</v>
      </c>
    </row>
    <row r="982" spans="1:8" ht="28.8" x14ac:dyDescent="0.3">
      <c r="A982" s="5">
        <v>811219</v>
      </c>
      <c r="B982" s="5">
        <v>811200</v>
      </c>
      <c r="C982" s="6" t="s">
        <v>1044</v>
      </c>
      <c r="D982" s="4" t="s">
        <v>5</v>
      </c>
      <c r="E982" s="1" t="s">
        <v>6</v>
      </c>
      <c r="F982" s="7">
        <v>7.5999999999999998E-2</v>
      </c>
      <c r="G982" s="7">
        <v>0</v>
      </c>
      <c r="H982" s="7">
        <v>7.5999999999999998E-2</v>
      </c>
    </row>
    <row r="983" spans="1:8" ht="43.2" x14ac:dyDescent="0.3">
      <c r="A983" s="5">
        <v>811310</v>
      </c>
      <c r="B983" s="5">
        <v>811300</v>
      </c>
      <c r="C983" s="6" t="s">
        <v>1045</v>
      </c>
      <c r="D983" s="4" t="s">
        <v>5</v>
      </c>
      <c r="E983" s="1" t="s">
        <v>6</v>
      </c>
      <c r="F983" s="7">
        <v>0.13600000000000001</v>
      </c>
      <c r="G983" s="7">
        <v>0</v>
      </c>
      <c r="H983" s="7">
        <v>0.13600000000000001</v>
      </c>
    </row>
    <row r="984" spans="1:8" ht="28.8" x14ac:dyDescent="0.3">
      <c r="A984" s="5">
        <v>811411</v>
      </c>
      <c r="B984" s="5">
        <v>811400</v>
      </c>
      <c r="C984" s="6" t="s">
        <v>1046</v>
      </c>
      <c r="D984" s="4" t="s">
        <v>5</v>
      </c>
      <c r="E984" s="1" t="s">
        <v>6</v>
      </c>
      <c r="F984" s="7">
        <v>0.113</v>
      </c>
      <c r="G984" s="7">
        <v>0</v>
      </c>
      <c r="H984" s="7">
        <v>0.113</v>
      </c>
    </row>
    <row r="985" spans="1:8" ht="28.8" x14ac:dyDescent="0.3">
      <c r="A985" s="5">
        <v>811412</v>
      </c>
      <c r="B985" s="5">
        <v>811400</v>
      </c>
      <c r="C985" s="6" t="s">
        <v>1047</v>
      </c>
      <c r="D985" s="4" t="s">
        <v>5</v>
      </c>
      <c r="E985" s="1" t="s">
        <v>6</v>
      </c>
      <c r="F985" s="7">
        <v>0.113</v>
      </c>
      <c r="G985" s="7">
        <v>0</v>
      </c>
      <c r="H985" s="7">
        <v>0.113</v>
      </c>
    </row>
    <row r="986" spans="1:8" ht="28.8" x14ac:dyDescent="0.3">
      <c r="A986" s="5">
        <v>811420</v>
      </c>
      <c r="B986" s="5">
        <v>811400</v>
      </c>
      <c r="C986" s="6" t="s">
        <v>1048</v>
      </c>
      <c r="D986" s="4" t="s">
        <v>5</v>
      </c>
      <c r="E986" s="1" t="s">
        <v>6</v>
      </c>
      <c r="F986" s="7">
        <v>0.113</v>
      </c>
      <c r="G986" s="7">
        <v>0</v>
      </c>
      <c r="H986" s="7">
        <v>0.113</v>
      </c>
    </row>
    <row r="987" spans="1:8" ht="28.8" x14ac:dyDescent="0.3">
      <c r="A987" s="5">
        <v>811430</v>
      </c>
      <c r="B987" s="5">
        <v>811400</v>
      </c>
      <c r="C987" s="6" t="s">
        <v>1049</v>
      </c>
      <c r="D987" s="4" t="s">
        <v>5</v>
      </c>
      <c r="E987" s="1" t="s">
        <v>6</v>
      </c>
      <c r="F987" s="7">
        <v>0.113</v>
      </c>
      <c r="G987" s="7">
        <v>0</v>
      </c>
      <c r="H987" s="7">
        <v>0.113</v>
      </c>
    </row>
    <row r="988" spans="1:8" ht="28.8" x14ac:dyDescent="0.3">
      <c r="A988" s="5">
        <v>811490</v>
      </c>
      <c r="B988" s="5">
        <v>811400</v>
      </c>
      <c r="C988" s="6" t="s">
        <v>1050</v>
      </c>
      <c r="D988" s="4" t="s">
        <v>5</v>
      </c>
      <c r="E988" s="1" t="s">
        <v>6</v>
      </c>
      <c r="F988" s="7">
        <v>0.113</v>
      </c>
      <c r="G988" s="7">
        <v>0</v>
      </c>
      <c r="H988" s="7">
        <v>0.113</v>
      </c>
    </row>
    <row r="989" spans="1:8" ht="28.8" x14ac:dyDescent="0.3">
      <c r="A989" s="5">
        <v>812111</v>
      </c>
      <c r="B989" s="5">
        <v>812100</v>
      </c>
      <c r="C989" s="6" t="s">
        <v>1051</v>
      </c>
      <c r="D989" s="4" t="s">
        <v>5</v>
      </c>
      <c r="E989" s="1" t="s">
        <v>6</v>
      </c>
      <c r="F989" s="7">
        <v>0.125</v>
      </c>
      <c r="G989" s="7">
        <v>0</v>
      </c>
      <c r="H989" s="7">
        <v>0.125</v>
      </c>
    </row>
    <row r="990" spans="1:8" ht="28.8" x14ac:dyDescent="0.3">
      <c r="A990" s="5">
        <v>812112</v>
      </c>
      <c r="B990" s="5">
        <v>812100</v>
      </c>
      <c r="C990" s="6" t="s">
        <v>1052</v>
      </c>
      <c r="D990" s="4" t="s">
        <v>5</v>
      </c>
      <c r="E990" s="1" t="s">
        <v>6</v>
      </c>
      <c r="F990" s="7">
        <v>0.125</v>
      </c>
      <c r="G990" s="7">
        <v>0</v>
      </c>
      <c r="H990" s="7">
        <v>0.125</v>
      </c>
    </row>
    <row r="991" spans="1:8" ht="28.8" x14ac:dyDescent="0.3">
      <c r="A991" s="5">
        <v>812113</v>
      </c>
      <c r="B991" s="5">
        <v>812100</v>
      </c>
      <c r="C991" s="6" t="s">
        <v>1053</v>
      </c>
      <c r="D991" s="4" t="s">
        <v>5</v>
      </c>
      <c r="E991" s="1" t="s">
        <v>6</v>
      </c>
      <c r="F991" s="7">
        <v>0.125</v>
      </c>
      <c r="G991" s="7">
        <v>0</v>
      </c>
      <c r="H991" s="7">
        <v>0.125</v>
      </c>
    </row>
    <row r="992" spans="1:8" ht="28.8" x14ac:dyDescent="0.3">
      <c r="A992" s="5">
        <v>812191</v>
      </c>
      <c r="B992" s="5">
        <v>812100</v>
      </c>
      <c r="C992" s="6" t="s">
        <v>1054</v>
      </c>
      <c r="D992" s="4" t="s">
        <v>5</v>
      </c>
      <c r="E992" s="1" t="s">
        <v>6</v>
      </c>
      <c r="F992" s="7">
        <v>0.125</v>
      </c>
      <c r="G992" s="7">
        <v>0</v>
      </c>
      <c r="H992" s="7">
        <v>0.125</v>
      </c>
    </row>
    <row r="993" spans="1:8" ht="28.8" x14ac:dyDescent="0.3">
      <c r="A993" s="5">
        <v>812199</v>
      </c>
      <c r="B993" s="5">
        <v>812100</v>
      </c>
      <c r="C993" s="6" t="s">
        <v>1055</v>
      </c>
      <c r="D993" s="4" t="s">
        <v>5</v>
      </c>
      <c r="E993" s="1" t="s">
        <v>6</v>
      </c>
      <c r="F993" s="7">
        <v>0.125</v>
      </c>
      <c r="G993" s="7">
        <v>0</v>
      </c>
      <c r="H993" s="7">
        <v>0.125</v>
      </c>
    </row>
    <row r="994" spans="1:8" ht="28.8" x14ac:dyDescent="0.3">
      <c r="A994" s="5">
        <v>812210</v>
      </c>
      <c r="B994" s="5">
        <v>812200</v>
      </c>
      <c r="C994" s="6" t="s">
        <v>1056</v>
      </c>
      <c r="D994" s="4" t="s">
        <v>5</v>
      </c>
      <c r="E994" s="1" t="s">
        <v>6</v>
      </c>
      <c r="F994" s="7">
        <v>4.7E-2</v>
      </c>
      <c r="G994" s="7">
        <v>0</v>
      </c>
      <c r="H994" s="7">
        <v>4.7E-2</v>
      </c>
    </row>
    <row r="995" spans="1:8" ht="28.8" x14ac:dyDescent="0.3">
      <c r="A995" s="5">
        <v>812220</v>
      </c>
      <c r="B995" s="5">
        <v>812200</v>
      </c>
      <c r="C995" s="6" t="s">
        <v>1057</v>
      </c>
      <c r="D995" s="4" t="s">
        <v>5</v>
      </c>
      <c r="E995" s="1" t="s">
        <v>6</v>
      </c>
      <c r="F995" s="7">
        <v>4.7E-2</v>
      </c>
      <c r="G995" s="7">
        <v>0</v>
      </c>
      <c r="H995" s="7">
        <v>4.7E-2</v>
      </c>
    </row>
    <row r="996" spans="1:8" ht="28.8" x14ac:dyDescent="0.3">
      <c r="A996" s="5">
        <v>812310</v>
      </c>
      <c r="B996" s="5">
        <v>812300</v>
      </c>
      <c r="C996" s="6" t="s">
        <v>1058</v>
      </c>
      <c r="D996" s="4" t="s">
        <v>5</v>
      </c>
      <c r="E996" s="1" t="s">
        <v>6</v>
      </c>
      <c r="F996" s="7">
        <v>0.158</v>
      </c>
      <c r="G996" s="7">
        <v>0</v>
      </c>
      <c r="H996" s="7">
        <v>0.158</v>
      </c>
    </row>
    <row r="997" spans="1:8" ht="28.8" x14ac:dyDescent="0.3">
      <c r="A997" s="5">
        <v>812320</v>
      </c>
      <c r="B997" s="5">
        <v>812300</v>
      </c>
      <c r="C997" s="6" t="s">
        <v>1059</v>
      </c>
      <c r="D997" s="4" t="s">
        <v>5</v>
      </c>
      <c r="E997" s="1" t="s">
        <v>6</v>
      </c>
      <c r="F997" s="7">
        <v>0.158</v>
      </c>
      <c r="G997" s="7">
        <v>0</v>
      </c>
      <c r="H997" s="7">
        <v>0.158</v>
      </c>
    </row>
    <row r="998" spans="1:8" ht="28.8" x14ac:dyDescent="0.3">
      <c r="A998" s="5">
        <v>812331</v>
      </c>
      <c r="B998" s="5">
        <v>812300</v>
      </c>
      <c r="C998" s="6" t="s">
        <v>1060</v>
      </c>
      <c r="D998" s="4" t="s">
        <v>5</v>
      </c>
      <c r="E998" s="1" t="s">
        <v>6</v>
      </c>
      <c r="F998" s="7">
        <v>0.158</v>
      </c>
      <c r="G998" s="7">
        <v>0</v>
      </c>
      <c r="H998" s="7">
        <v>0.158</v>
      </c>
    </row>
    <row r="999" spans="1:8" ht="28.8" x14ac:dyDescent="0.3">
      <c r="A999" s="5">
        <v>812332</v>
      </c>
      <c r="B999" s="5">
        <v>812300</v>
      </c>
      <c r="C999" s="6" t="s">
        <v>1061</v>
      </c>
      <c r="D999" s="4" t="s">
        <v>5</v>
      </c>
      <c r="E999" s="1" t="s">
        <v>6</v>
      </c>
      <c r="F999" s="7">
        <v>0.158</v>
      </c>
      <c r="G999" s="7">
        <v>0</v>
      </c>
      <c r="H999" s="7">
        <v>0.158</v>
      </c>
    </row>
    <row r="1000" spans="1:8" ht="28.8" x14ac:dyDescent="0.3">
      <c r="A1000" s="5">
        <v>812910</v>
      </c>
      <c r="B1000" s="5">
        <v>812900</v>
      </c>
      <c r="C1000" s="6" t="s">
        <v>1062</v>
      </c>
      <c r="D1000" s="4" t="s">
        <v>5</v>
      </c>
      <c r="E1000" s="1" t="s">
        <v>6</v>
      </c>
      <c r="F1000" s="7">
        <v>0.111</v>
      </c>
      <c r="G1000" s="7">
        <v>0</v>
      </c>
      <c r="H1000" s="7">
        <v>0.111</v>
      </c>
    </row>
    <row r="1001" spans="1:8" ht="28.8" x14ac:dyDescent="0.3">
      <c r="A1001" s="5">
        <v>812921</v>
      </c>
      <c r="B1001" s="5">
        <v>812900</v>
      </c>
      <c r="C1001" s="6" t="s">
        <v>1063</v>
      </c>
      <c r="D1001" s="4" t="s">
        <v>5</v>
      </c>
      <c r="E1001" s="1" t="s">
        <v>6</v>
      </c>
      <c r="F1001" s="7">
        <v>0.111</v>
      </c>
      <c r="G1001" s="7">
        <v>0</v>
      </c>
      <c r="H1001" s="7">
        <v>0.111</v>
      </c>
    </row>
    <row r="1002" spans="1:8" ht="28.8" x14ac:dyDescent="0.3">
      <c r="A1002" s="5">
        <v>812922</v>
      </c>
      <c r="B1002" s="5">
        <v>812900</v>
      </c>
      <c r="C1002" s="6" t="s">
        <v>1064</v>
      </c>
      <c r="D1002" s="4" t="s">
        <v>5</v>
      </c>
      <c r="E1002" s="1" t="s">
        <v>6</v>
      </c>
      <c r="F1002" s="7">
        <v>0.111</v>
      </c>
      <c r="G1002" s="7">
        <v>0</v>
      </c>
      <c r="H1002" s="7">
        <v>0.111</v>
      </c>
    </row>
    <row r="1003" spans="1:8" ht="28.8" x14ac:dyDescent="0.3">
      <c r="A1003" s="5">
        <v>812930</v>
      </c>
      <c r="B1003" s="5">
        <v>812900</v>
      </c>
      <c r="C1003" s="6" t="s">
        <v>1065</v>
      </c>
      <c r="D1003" s="4" t="s">
        <v>5</v>
      </c>
      <c r="E1003" s="1" t="s">
        <v>6</v>
      </c>
      <c r="F1003" s="7">
        <v>0.111</v>
      </c>
      <c r="G1003" s="7">
        <v>0</v>
      </c>
      <c r="H1003" s="7">
        <v>0.111</v>
      </c>
    </row>
    <row r="1004" spans="1:8" ht="28.8" x14ac:dyDescent="0.3">
      <c r="A1004" s="5">
        <v>812990</v>
      </c>
      <c r="B1004" s="5">
        <v>812900</v>
      </c>
      <c r="C1004" s="6" t="s">
        <v>1066</v>
      </c>
      <c r="D1004" s="4" t="s">
        <v>5</v>
      </c>
      <c r="E1004" s="1" t="s">
        <v>6</v>
      </c>
      <c r="F1004" s="7">
        <v>0.111</v>
      </c>
      <c r="G1004" s="7">
        <v>0</v>
      </c>
      <c r="H1004" s="7">
        <v>0.111</v>
      </c>
    </row>
    <row r="1005" spans="1:8" ht="28.8" x14ac:dyDescent="0.3">
      <c r="A1005" s="5">
        <v>813110</v>
      </c>
      <c r="B1005" s="5">
        <v>813100</v>
      </c>
      <c r="C1005" s="6" t="s">
        <v>1067</v>
      </c>
      <c r="D1005" s="4" t="s">
        <v>5</v>
      </c>
      <c r="E1005" s="1" t="s">
        <v>6</v>
      </c>
      <c r="F1005" s="7">
        <v>7.5999999999999998E-2</v>
      </c>
      <c r="G1005" s="7">
        <v>0</v>
      </c>
      <c r="H1005" s="7">
        <v>7.5999999999999998E-2</v>
      </c>
    </row>
    <row r="1006" spans="1:8" ht="28.8" x14ac:dyDescent="0.3">
      <c r="A1006" s="5">
        <v>813211</v>
      </c>
      <c r="B1006" s="5" t="s">
        <v>1069</v>
      </c>
      <c r="C1006" s="6" t="s">
        <v>1068</v>
      </c>
      <c r="D1006" s="4" t="s">
        <v>5</v>
      </c>
      <c r="E1006" s="1" t="s">
        <v>6</v>
      </c>
      <c r="F1006" s="7">
        <v>5.8999999999999997E-2</v>
      </c>
      <c r="G1006" s="7">
        <v>0</v>
      </c>
      <c r="H1006" s="7">
        <v>5.8999999999999997E-2</v>
      </c>
    </row>
    <row r="1007" spans="1:8" ht="28.8" x14ac:dyDescent="0.3">
      <c r="A1007" s="5">
        <v>813212</v>
      </c>
      <c r="B1007" s="5" t="s">
        <v>1069</v>
      </c>
      <c r="C1007" s="6" t="s">
        <v>1070</v>
      </c>
      <c r="D1007" s="4" t="s">
        <v>5</v>
      </c>
      <c r="E1007" s="1" t="s">
        <v>6</v>
      </c>
      <c r="F1007" s="7">
        <v>5.8999999999999997E-2</v>
      </c>
      <c r="G1007" s="7">
        <v>0</v>
      </c>
      <c r="H1007" s="7">
        <v>5.8999999999999997E-2</v>
      </c>
    </row>
    <row r="1008" spans="1:8" ht="28.8" x14ac:dyDescent="0.3">
      <c r="A1008" s="5">
        <v>813219</v>
      </c>
      <c r="B1008" s="5" t="s">
        <v>1069</v>
      </c>
      <c r="C1008" s="6" t="s">
        <v>1071</v>
      </c>
      <c r="D1008" s="4" t="s">
        <v>5</v>
      </c>
      <c r="E1008" s="1" t="s">
        <v>6</v>
      </c>
      <c r="F1008" s="7">
        <v>5.8999999999999997E-2</v>
      </c>
      <c r="G1008" s="7">
        <v>0</v>
      </c>
      <c r="H1008" s="7">
        <v>5.8999999999999997E-2</v>
      </c>
    </row>
    <row r="1009" spans="1:8" ht="28.8" x14ac:dyDescent="0.3">
      <c r="A1009" s="5">
        <v>813311</v>
      </c>
      <c r="B1009" s="5" t="s">
        <v>1069</v>
      </c>
      <c r="C1009" s="6" t="s">
        <v>1072</v>
      </c>
      <c r="D1009" s="4" t="s">
        <v>5</v>
      </c>
      <c r="E1009" s="1" t="s">
        <v>6</v>
      </c>
      <c r="F1009" s="7">
        <v>5.8999999999999997E-2</v>
      </c>
      <c r="G1009" s="7">
        <v>0</v>
      </c>
      <c r="H1009" s="7">
        <v>5.8999999999999997E-2</v>
      </c>
    </row>
    <row r="1010" spans="1:8" ht="28.8" x14ac:dyDescent="0.3">
      <c r="A1010" s="5">
        <v>813312</v>
      </c>
      <c r="B1010" s="5" t="s">
        <v>1069</v>
      </c>
      <c r="C1010" s="6" t="s">
        <v>1073</v>
      </c>
      <c r="D1010" s="4" t="s">
        <v>5</v>
      </c>
      <c r="E1010" s="1" t="s">
        <v>6</v>
      </c>
      <c r="F1010" s="7">
        <v>5.8999999999999997E-2</v>
      </c>
      <c r="G1010" s="7">
        <v>0</v>
      </c>
      <c r="H1010" s="7">
        <v>5.8999999999999997E-2</v>
      </c>
    </row>
    <row r="1011" spans="1:8" ht="28.8" x14ac:dyDescent="0.3">
      <c r="A1011" s="5">
        <v>813319</v>
      </c>
      <c r="B1011" s="5" t="s">
        <v>1069</v>
      </c>
      <c r="C1011" s="6" t="s">
        <v>1074</v>
      </c>
      <c r="D1011" s="4" t="s">
        <v>5</v>
      </c>
      <c r="E1011" s="1" t="s">
        <v>6</v>
      </c>
      <c r="F1011" s="7">
        <v>5.8999999999999997E-2</v>
      </c>
      <c r="G1011" s="7">
        <v>0</v>
      </c>
      <c r="H1011" s="7">
        <v>5.8999999999999997E-2</v>
      </c>
    </row>
    <row r="1012" spans="1:8" ht="28.8" x14ac:dyDescent="0.3">
      <c r="A1012" s="5">
        <v>813410</v>
      </c>
      <c r="B1012" s="5" t="s">
        <v>1076</v>
      </c>
      <c r="C1012" s="6" t="s">
        <v>1075</v>
      </c>
      <c r="D1012" s="4" t="s">
        <v>5</v>
      </c>
      <c r="E1012" s="1" t="s">
        <v>6</v>
      </c>
      <c r="F1012" s="7">
        <v>0.128</v>
      </c>
      <c r="G1012" s="7">
        <v>0</v>
      </c>
      <c r="H1012" s="7">
        <v>0.128</v>
      </c>
    </row>
    <row r="1013" spans="1:8" ht="28.8" x14ac:dyDescent="0.3">
      <c r="A1013" s="5">
        <v>813910</v>
      </c>
      <c r="B1013" s="5" t="s">
        <v>1076</v>
      </c>
      <c r="C1013" s="6" t="s">
        <v>1077</v>
      </c>
      <c r="D1013" s="4" t="s">
        <v>5</v>
      </c>
      <c r="E1013" s="1" t="s">
        <v>6</v>
      </c>
      <c r="F1013" s="7">
        <v>0.128</v>
      </c>
      <c r="G1013" s="7">
        <v>0</v>
      </c>
      <c r="H1013" s="7">
        <v>0.128</v>
      </c>
    </row>
    <row r="1014" spans="1:8" ht="28.8" x14ac:dyDescent="0.3">
      <c r="A1014" s="5">
        <v>813920</v>
      </c>
      <c r="B1014" s="5" t="s">
        <v>1076</v>
      </c>
      <c r="C1014" s="6" t="s">
        <v>1078</v>
      </c>
      <c r="D1014" s="4" t="s">
        <v>5</v>
      </c>
      <c r="E1014" s="1" t="s">
        <v>6</v>
      </c>
      <c r="F1014" s="7">
        <v>0.128</v>
      </c>
      <c r="G1014" s="7">
        <v>0</v>
      </c>
      <c r="H1014" s="7">
        <v>0.128</v>
      </c>
    </row>
    <row r="1015" spans="1:8" ht="28.8" x14ac:dyDescent="0.3">
      <c r="A1015" s="5">
        <v>813930</v>
      </c>
      <c r="B1015" s="5" t="s">
        <v>1076</v>
      </c>
      <c r="C1015" s="6" t="s">
        <v>1079</v>
      </c>
      <c r="D1015" s="4" t="s">
        <v>5</v>
      </c>
      <c r="E1015" s="1" t="s">
        <v>6</v>
      </c>
      <c r="F1015" s="7">
        <v>0.128</v>
      </c>
      <c r="G1015" s="7">
        <v>0</v>
      </c>
      <c r="H1015" s="7">
        <v>0.128</v>
      </c>
    </row>
    <row r="1016" spans="1:8" ht="28.8" x14ac:dyDescent="0.3">
      <c r="A1016" s="5">
        <v>813940</v>
      </c>
      <c r="B1016" s="5" t="s">
        <v>1076</v>
      </c>
      <c r="C1016" s="6" t="s">
        <v>1080</v>
      </c>
      <c r="D1016" s="4" t="s">
        <v>5</v>
      </c>
      <c r="E1016" s="1" t="s">
        <v>6</v>
      </c>
      <c r="F1016" s="7">
        <v>0.128</v>
      </c>
      <c r="G1016" s="7">
        <v>0</v>
      </c>
      <c r="H1016" s="7">
        <v>0.128</v>
      </c>
    </row>
    <row r="1017" spans="1:8" ht="43.2" x14ac:dyDescent="0.3">
      <c r="A1017" s="5">
        <v>813990</v>
      </c>
      <c r="B1017" s="5" t="s">
        <v>1076</v>
      </c>
      <c r="C1017" s="6" t="s">
        <v>1081</v>
      </c>
      <c r="D1017" s="4" t="s">
        <v>5</v>
      </c>
      <c r="E1017" s="1" t="s">
        <v>6</v>
      </c>
      <c r="F1017" s="7">
        <v>0.128</v>
      </c>
      <c r="G1017" s="7">
        <v>0</v>
      </c>
      <c r="H1017" s="7">
        <v>0.128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B660-4204-48EF-A260-242BBC437B9D}">
  <dimension ref="A1:H1017"/>
  <sheetViews>
    <sheetView workbookViewId="0">
      <selection activeCell="F2" sqref="F2:F1017"/>
    </sheetView>
  </sheetViews>
  <sheetFormatPr defaultRowHeight="14.4" x14ac:dyDescent="0.3"/>
  <cols>
    <col min="1" max="1" width="20" bestFit="1" customWidth="1"/>
    <col min="2" max="2" width="35.88671875" customWidth="1"/>
    <col min="3" max="3" width="16.77734375" style="33" customWidth="1"/>
    <col min="4" max="4" width="11.88671875" style="31" customWidth="1"/>
    <col min="5" max="5" width="14" style="30" customWidth="1"/>
    <col min="6" max="6" width="12.5546875" style="30" customWidth="1"/>
    <col min="7" max="7" width="12.6640625" style="11" customWidth="1"/>
    <col min="8" max="8" width="16.109375" style="9" customWidth="1"/>
  </cols>
  <sheetData>
    <row r="1" spans="1:8" s="1" customFormat="1" ht="28.8" x14ac:dyDescent="0.3">
      <c r="A1" s="1" t="s">
        <v>0</v>
      </c>
      <c r="B1" s="1" t="s">
        <v>1106</v>
      </c>
      <c r="C1" s="33" t="s">
        <v>1114</v>
      </c>
      <c r="D1" s="31" t="s">
        <v>1115</v>
      </c>
      <c r="E1" s="30" t="s">
        <v>1116</v>
      </c>
      <c r="F1" s="32" t="s">
        <v>1117</v>
      </c>
      <c r="G1" s="12" t="s">
        <v>1085</v>
      </c>
      <c r="H1" s="10" t="s">
        <v>1086</v>
      </c>
    </row>
    <row r="2" spans="1:8" x14ac:dyDescent="0.3">
      <c r="A2">
        <v>327910</v>
      </c>
      <c r="B2" t="s">
        <v>318</v>
      </c>
      <c r="C2" s="33">
        <v>0.13400000000000001</v>
      </c>
      <c r="D2" s="34">
        <v>5.2999999999999999E-2</v>
      </c>
      <c r="E2" s="33">
        <v>0.187</v>
      </c>
      <c r="F2" s="33">
        <f>SCE_Ds[[#This Row],[With Margins ($)]]-SCE_Ds[[#This Row],[ without Margins ( $)]]</f>
        <v>5.2999999999999992E-2</v>
      </c>
      <c r="G2" s="11" t="str">
        <f>IF(E1&lt;0.5,"Low", "High")</f>
        <v>High</v>
      </c>
      <c r="H2" s="9">
        <f>SCE_Ds[[#This Row],[Margins ($)]]/SCE_Ds[[#This Row],[With Margins ($)]]</f>
        <v>0.2834224598930481</v>
      </c>
    </row>
    <row r="3" spans="1:8" x14ac:dyDescent="0.3">
      <c r="A3">
        <v>325520</v>
      </c>
      <c r="B3" t="s">
        <v>278</v>
      </c>
      <c r="C3" s="33">
        <v>0.502</v>
      </c>
      <c r="D3" s="33">
        <v>2.9000000000000001E-2</v>
      </c>
      <c r="E3" s="33">
        <v>0.53100000000000003</v>
      </c>
      <c r="F3" s="33">
        <f>SCE_Ds[[#This Row],[With Margins ($)]]-SCE_Ds[[#This Row],[ without Margins ( $)]]</f>
        <v>2.9000000000000026E-2</v>
      </c>
      <c r="G3" s="11" t="str">
        <f>IF(E2&lt;0.5,"Low", "High")</f>
        <v>Low</v>
      </c>
      <c r="H3" s="9">
        <f>SCE_Ds[[#This Row],[Margins ($)]]/SCE_Ds[[#This Row],[With Margins ($)]]</f>
        <v>5.4613935969868174E-2</v>
      </c>
    </row>
    <row r="4" spans="1:8" x14ac:dyDescent="0.3">
      <c r="A4">
        <v>541611</v>
      </c>
      <c r="B4" t="s">
        <v>855</v>
      </c>
      <c r="C4" s="33">
        <v>7.8E-2</v>
      </c>
      <c r="D4" s="33">
        <v>0</v>
      </c>
      <c r="E4" s="33">
        <v>7.8E-2</v>
      </c>
      <c r="F4" s="33">
        <f>SCE_Ds[[#This Row],[With Margins ($)]]-SCE_Ds[[#This Row],[ without Margins ( $)]]</f>
        <v>0</v>
      </c>
      <c r="G4" s="11" t="str">
        <f>IF(E3&lt;0.5,"Low", "High")</f>
        <v>High</v>
      </c>
      <c r="H4" s="9">
        <f>SCE_Ds[[#This Row],[Margins ($)]]/SCE_Ds[[#This Row],[With Margins ($)]]</f>
        <v>0</v>
      </c>
    </row>
    <row r="5" spans="1:8" x14ac:dyDescent="0.3">
      <c r="A5">
        <v>541810</v>
      </c>
      <c r="B5" t="s">
        <v>867</v>
      </c>
      <c r="C5" s="33">
        <v>8.5000000000000006E-2</v>
      </c>
      <c r="D5" s="33">
        <v>0</v>
      </c>
      <c r="E5" s="33">
        <v>8.5000000000000006E-2</v>
      </c>
      <c r="F5" s="33">
        <f>SCE_Ds[[#This Row],[With Margins ($)]]-SCE_Ds[[#This Row],[ without Margins ( $)]]</f>
        <v>0</v>
      </c>
      <c r="G5" s="11" t="str">
        <f>IF(E4&lt;0.5,"Low", "High")</f>
        <v>Low</v>
      </c>
      <c r="H5" s="9">
        <f>SCE_Ds[[#This Row],[Margins ($)]]/SCE_Ds[[#This Row],[With Margins ($)]]</f>
        <v>0</v>
      </c>
    </row>
    <row r="6" spans="1:8" x14ac:dyDescent="0.3">
      <c r="A6">
        <v>541870</v>
      </c>
      <c r="B6" t="s">
        <v>873</v>
      </c>
      <c r="C6" s="33">
        <v>8.5000000000000006E-2</v>
      </c>
      <c r="D6" s="33">
        <v>0</v>
      </c>
      <c r="E6" s="33">
        <v>8.5000000000000006E-2</v>
      </c>
      <c r="F6" s="33">
        <f>SCE_Ds[[#This Row],[With Margins ($)]]-SCE_Ds[[#This Row],[ without Margins ( $)]]</f>
        <v>0</v>
      </c>
      <c r="G6" s="11" t="str">
        <f>IF(E5&lt;0.5,"Low", "High")</f>
        <v>Low</v>
      </c>
      <c r="H6" s="9">
        <f>SCE_Ds[[#This Row],[Margins ($)]]/SCE_Ds[[#This Row],[With Margins ($)]]</f>
        <v>0</v>
      </c>
    </row>
    <row r="7" spans="1:8" x14ac:dyDescent="0.3">
      <c r="A7">
        <v>711410</v>
      </c>
      <c r="B7" t="s">
        <v>1000</v>
      </c>
      <c r="C7" s="33">
        <v>9.2999999999999999E-2</v>
      </c>
      <c r="D7" s="33">
        <v>0</v>
      </c>
      <c r="E7" s="33">
        <v>9.2999999999999999E-2</v>
      </c>
      <c r="F7" s="33">
        <f>SCE_Ds[[#This Row],[With Margins ($)]]-SCE_Ds[[#This Row],[ without Margins ( $)]]</f>
        <v>0</v>
      </c>
      <c r="G7" s="11" t="str">
        <f>IF(E6&lt;0.5,"Low", "High")</f>
        <v>Low</v>
      </c>
      <c r="H7" s="9">
        <f>SCE_Ds[[#This Row],[Margins ($)]]/SCE_Ds[[#This Row],[With Margins ($)]]</f>
        <v>0</v>
      </c>
    </row>
    <row r="8" spans="1:8" x14ac:dyDescent="0.3">
      <c r="A8">
        <v>333912</v>
      </c>
      <c r="B8" t="s">
        <v>407</v>
      </c>
      <c r="C8" s="33">
        <v>0.158</v>
      </c>
      <c r="D8" s="33">
        <v>0.02</v>
      </c>
      <c r="E8" s="33">
        <v>0.17699999999999999</v>
      </c>
      <c r="F8" s="33">
        <f>SCE_Ds[[#This Row],[With Margins ($)]]-SCE_Ds[[#This Row],[ without Margins ( $)]]</f>
        <v>1.8999999999999989E-2</v>
      </c>
      <c r="G8" s="11" t="str">
        <f>IF(E7&lt;0.5,"Low", "High")</f>
        <v>Low</v>
      </c>
      <c r="H8" s="9">
        <f>SCE_Ds[[#This Row],[Margins ($)]]/SCE_Ds[[#This Row],[With Margins ($)]]</f>
        <v>0.11299435028248589</v>
      </c>
    </row>
    <row r="9" spans="1:8" x14ac:dyDescent="0.3">
      <c r="A9">
        <v>488111</v>
      </c>
      <c r="B9" t="s">
        <v>704</v>
      </c>
      <c r="C9" s="33">
        <v>0.16200000000000001</v>
      </c>
      <c r="D9" s="33">
        <v>0</v>
      </c>
      <c r="E9" s="33">
        <v>0.16200000000000001</v>
      </c>
      <c r="F9" s="33">
        <f>SCE_Ds[[#This Row],[With Margins ($)]]-SCE_Ds[[#This Row],[ without Margins ( $)]]</f>
        <v>0</v>
      </c>
      <c r="G9" s="11" t="str">
        <f>IF(E8&lt;0.5,"Low", "High")</f>
        <v>Low</v>
      </c>
      <c r="H9" s="9">
        <f>SCE_Ds[[#This Row],[Margins ($)]]/SCE_Ds[[#This Row],[With Margins ($)]]</f>
        <v>0</v>
      </c>
    </row>
    <row r="10" spans="1:8" x14ac:dyDescent="0.3">
      <c r="A10">
        <v>333415</v>
      </c>
      <c r="B10" t="s">
        <v>396</v>
      </c>
      <c r="C10" s="33">
        <v>0.156</v>
      </c>
      <c r="D10" s="33">
        <v>2.8000000000000001E-2</v>
      </c>
      <c r="E10" s="33">
        <v>0.184</v>
      </c>
      <c r="F10" s="33">
        <f>SCE_Ds[[#This Row],[With Margins ($)]]-SCE_Ds[[#This Row],[ without Margins ( $)]]</f>
        <v>2.7999999999999997E-2</v>
      </c>
      <c r="G10" s="11" t="str">
        <f>IF(E9&lt;0.5,"Low", "High")</f>
        <v>Low</v>
      </c>
      <c r="H10" s="9">
        <f>SCE_Ds[[#This Row],[Margins ($)]]/SCE_Ds[[#This Row],[With Margins ($)]]</f>
        <v>0.15217391304347827</v>
      </c>
    </row>
    <row r="11" spans="1:8" x14ac:dyDescent="0.3">
      <c r="A11">
        <v>336412</v>
      </c>
      <c r="B11" t="s">
        <v>484</v>
      </c>
      <c r="C11" s="33">
        <v>0.151</v>
      </c>
      <c r="D11" s="33">
        <v>5.0000000000000001E-3</v>
      </c>
      <c r="E11" s="33">
        <v>0.156</v>
      </c>
      <c r="F11" s="33">
        <f>SCE_Ds[[#This Row],[With Margins ($)]]-SCE_Ds[[#This Row],[ without Margins ( $)]]</f>
        <v>5.0000000000000044E-3</v>
      </c>
      <c r="G11" s="11" t="str">
        <f>IF(E10&lt;0.5,"Low", "High")</f>
        <v>Low</v>
      </c>
      <c r="H11" s="9">
        <f>SCE_Ds[[#This Row],[Margins ($)]]/SCE_Ds[[#This Row],[With Margins ($)]]</f>
        <v>3.2051282051282055E-2</v>
      </c>
    </row>
    <row r="12" spans="1:8" x14ac:dyDescent="0.3">
      <c r="A12">
        <v>336411</v>
      </c>
      <c r="B12" t="s">
        <v>483</v>
      </c>
      <c r="C12" s="33">
        <v>0.13100000000000001</v>
      </c>
      <c r="D12" s="33">
        <v>8.9999999999999993E-3</v>
      </c>
      <c r="E12" s="33">
        <v>0.13900000000000001</v>
      </c>
      <c r="F12" s="33">
        <f>SCE_Ds[[#This Row],[With Margins ($)]]-SCE_Ds[[#This Row],[ without Margins ( $)]]</f>
        <v>8.0000000000000071E-3</v>
      </c>
      <c r="G12" s="11" t="str">
        <f>IF(E11&lt;0.5,"Low", "High")</f>
        <v>Low</v>
      </c>
      <c r="H12" s="9">
        <f>SCE_Ds[[#This Row],[Margins ($)]]/SCE_Ds[[#This Row],[With Margins ($)]]</f>
        <v>6.4748201438848907E-2</v>
      </c>
    </row>
    <row r="13" spans="1:8" x14ac:dyDescent="0.3">
      <c r="A13">
        <v>713990</v>
      </c>
      <c r="B13" t="s">
        <v>1015</v>
      </c>
      <c r="C13" s="33">
        <v>0.23499999999999999</v>
      </c>
      <c r="D13" s="33">
        <v>0</v>
      </c>
      <c r="E13" s="33">
        <v>0.23499999999999999</v>
      </c>
      <c r="F13" s="33">
        <f>SCE_Ds[[#This Row],[With Margins ($)]]-SCE_Ds[[#This Row],[ without Margins ( $)]]</f>
        <v>0</v>
      </c>
      <c r="G13" s="11" t="str">
        <f>IF(E12&lt;0.5,"Low", "High")</f>
        <v>Low</v>
      </c>
      <c r="H13" s="9">
        <f>SCE_Ds[[#This Row],[Margins ($)]]/SCE_Ds[[#This Row],[With Margins ($)]]</f>
        <v>0</v>
      </c>
    </row>
    <row r="14" spans="1:8" x14ac:dyDescent="0.3">
      <c r="A14">
        <v>112990</v>
      </c>
      <c r="B14" t="s">
        <v>58</v>
      </c>
      <c r="C14" s="33">
        <v>1.077</v>
      </c>
      <c r="D14" s="34">
        <v>5.0999999999999997E-2</v>
      </c>
      <c r="E14" s="33">
        <v>1.1279999999999999</v>
      </c>
      <c r="F14" s="33">
        <f>SCE_Ds[[#This Row],[With Margins ($)]]-SCE_Ds[[#This Row],[ without Margins ( $)]]</f>
        <v>5.0999999999999934E-2</v>
      </c>
      <c r="G14" s="11" t="str">
        <f>IF(E13&lt;0.5,"Low", "High")</f>
        <v>Low</v>
      </c>
      <c r="H14" s="9">
        <f>SCE_Ds[[#This Row],[Margins ($)]]/SCE_Ds[[#This Row],[With Margins ($)]]</f>
        <v>4.5212765957446811E-2</v>
      </c>
    </row>
    <row r="15" spans="1:8" x14ac:dyDescent="0.3">
      <c r="A15">
        <v>811198</v>
      </c>
      <c r="B15" t="s">
        <v>1040</v>
      </c>
      <c r="C15" s="33">
        <v>0.10299999999999999</v>
      </c>
      <c r="D15" s="33">
        <v>0</v>
      </c>
      <c r="E15" s="33">
        <v>0.10299999999999999</v>
      </c>
      <c r="F15" s="33">
        <f>SCE_Ds[[#This Row],[With Margins ($)]]-SCE_Ds[[#This Row],[ without Margins ( $)]]</f>
        <v>0</v>
      </c>
      <c r="G15" s="11" t="str">
        <f>IF(E14&lt;0.5,"Low", "High")</f>
        <v>High</v>
      </c>
      <c r="H15" s="9">
        <f>SCE_Ds[[#This Row],[Margins ($)]]/SCE_Ds[[#This Row],[With Margins ($)]]</f>
        <v>0</v>
      </c>
    </row>
    <row r="16" spans="1:8" x14ac:dyDescent="0.3">
      <c r="A16">
        <v>325199</v>
      </c>
      <c r="B16" t="s">
        <v>264</v>
      </c>
      <c r="C16" s="33">
        <v>1.1659999999999999</v>
      </c>
      <c r="D16" s="34">
        <v>1.7999999999999999E-2</v>
      </c>
      <c r="E16" s="33">
        <v>1.1839999999999999</v>
      </c>
      <c r="F16" s="33">
        <f>SCE_Ds[[#This Row],[With Margins ($)]]-SCE_Ds[[#This Row],[ without Margins ( $)]]</f>
        <v>1.8000000000000016E-2</v>
      </c>
      <c r="G16" s="11" t="str">
        <f>IF(E15&lt;0.5,"Low", "High")</f>
        <v>Low</v>
      </c>
      <c r="H16" s="9">
        <f>SCE_Ds[[#This Row],[Margins ($)]]/SCE_Ds[[#This Row],[With Margins ($)]]</f>
        <v>1.5202702702702702E-2</v>
      </c>
    </row>
    <row r="17" spans="1:8" x14ac:dyDescent="0.3">
      <c r="A17">
        <v>561499</v>
      </c>
      <c r="B17" t="s">
        <v>900</v>
      </c>
      <c r="C17" s="33">
        <v>0.111</v>
      </c>
      <c r="D17" s="33">
        <v>0</v>
      </c>
      <c r="E17" s="33">
        <v>0.111</v>
      </c>
      <c r="F17" s="33">
        <f>SCE_Ds[[#This Row],[With Margins ($)]]-SCE_Ds[[#This Row],[ without Margins ( $)]]</f>
        <v>0</v>
      </c>
      <c r="G17" s="11" t="str">
        <f>IF(E16&lt;0.5,"Low", "High")</f>
        <v>High</v>
      </c>
      <c r="H17" s="9">
        <f>SCE_Ds[[#This Row],[Margins ($)]]/SCE_Ds[[#This Row],[With Margins ($)]]</f>
        <v>0</v>
      </c>
    </row>
    <row r="18" spans="1:8" x14ac:dyDescent="0.3">
      <c r="A18">
        <v>532289</v>
      </c>
      <c r="B18" t="s">
        <v>823</v>
      </c>
      <c r="C18" s="33">
        <v>0.10199999999999999</v>
      </c>
      <c r="D18" s="33">
        <v>0</v>
      </c>
      <c r="E18" s="33">
        <v>0.10199999999999999</v>
      </c>
      <c r="F18" s="33">
        <f>SCE_Ds[[#This Row],[With Margins ($)]]-SCE_Ds[[#This Row],[ without Margins ( $)]]</f>
        <v>0</v>
      </c>
      <c r="G18" s="11" t="str">
        <f>IF(E17&lt;0.5,"Low", "High")</f>
        <v>Low</v>
      </c>
      <c r="H18" s="9">
        <f>SCE_Ds[[#This Row],[Margins ($)]]/SCE_Ds[[#This Row],[With Margins ($)]]</f>
        <v>0</v>
      </c>
    </row>
    <row r="19" spans="1:8" x14ac:dyDescent="0.3">
      <c r="A19">
        <v>322299</v>
      </c>
      <c r="B19" t="s">
        <v>248</v>
      </c>
      <c r="C19" s="33">
        <v>0.30499999999999999</v>
      </c>
      <c r="D19" s="33">
        <v>3.7999999999999999E-2</v>
      </c>
      <c r="E19" s="33">
        <v>0.34300000000000003</v>
      </c>
      <c r="F19" s="33">
        <f>SCE_Ds[[#This Row],[With Margins ($)]]-SCE_Ds[[#This Row],[ without Margins ( $)]]</f>
        <v>3.8000000000000034E-2</v>
      </c>
      <c r="G19" s="11" t="str">
        <f>IF(E18&lt;0.5,"Low", "High")</f>
        <v>Low</v>
      </c>
      <c r="H19" s="9">
        <f>SCE_Ds[[#This Row],[Margins ($)]]/SCE_Ds[[#This Row],[With Margins ($)]]</f>
        <v>0.1107871720116618</v>
      </c>
    </row>
    <row r="20" spans="1:8" x14ac:dyDescent="0.3">
      <c r="A20">
        <v>452319</v>
      </c>
      <c r="B20" t="s">
        <v>652</v>
      </c>
      <c r="C20" s="33">
        <v>0.16400000000000001</v>
      </c>
      <c r="D20" s="33">
        <v>0</v>
      </c>
      <c r="E20" s="33">
        <v>0.16400000000000001</v>
      </c>
      <c r="F20" s="33">
        <f>SCE_Ds[[#This Row],[With Margins ($)]]-SCE_Ds[[#This Row],[ without Margins ( $)]]</f>
        <v>0</v>
      </c>
      <c r="G20" s="11" t="str">
        <f>IF(E19&lt;0.5,"Low", "High")</f>
        <v>Low</v>
      </c>
      <c r="H20" s="9">
        <f>SCE_Ds[[#This Row],[Margins ($)]]/SCE_Ds[[#This Row],[With Margins ($)]]</f>
        <v>0</v>
      </c>
    </row>
    <row r="21" spans="1:8" x14ac:dyDescent="0.3">
      <c r="A21">
        <v>111199</v>
      </c>
      <c r="B21" t="s">
        <v>15</v>
      </c>
      <c r="C21" s="33">
        <v>0.80900000000000005</v>
      </c>
      <c r="D21" s="34">
        <v>0.04</v>
      </c>
      <c r="E21" s="33">
        <v>0.84799999999999998</v>
      </c>
      <c r="F21" s="33">
        <f>SCE_Ds[[#This Row],[With Margins ($)]]-SCE_Ds[[#This Row],[ without Margins ( $)]]</f>
        <v>3.8999999999999924E-2</v>
      </c>
      <c r="G21" s="11" t="str">
        <f>IF(E20&lt;0.5,"Low", "High")</f>
        <v>Low</v>
      </c>
      <c r="H21" s="9">
        <f>SCE_Ds[[#This Row],[Margins ($)]]/SCE_Ds[[#This Row],[With Margins ($)]]</f>
        <v>4.716981132075472E-2</v>
      </c>
    </row>
    <row r="22" spans="1:8" x14ac:dyDescent="0.3">
      <c r="A22">
        <v>446199</v>
      </c>
      <c r="B22" t="s">
        <v>632</v>
      </c>
      <c r="C22" s="33">
        <v>0.13</v>
      </c>
      <c r="D22" s="33">
        <v>0</v>
      </c>
      <c r="E22" s="33">
        <v>0.13</v>
      </c>
      <c r="F22" s="33">
        <f>SCE_Ds[[#This Row],[With Margins ($)]]-SCE_Ds[[#This Row],[ without Margins ( $)]]</f>
        <v>0</v>
      </c>
      <c r="G22" s="11" t="str">
        <f>IF(E21&lt;0.5,"Low", "High")</f>
        <v>High</v>
      </c>
      <c r="H22" s="9">
        <f>SCE_Ds[[#This Row],[Margins ($)]]/SCE_Ds[[#This Row],[With Margins ($)]]</f>
        <v>0</v>
      </c>
    </row>
    <row r="23" spans="1:8" x14ac:dyDescent="0.3">
      <c r="A23">
        <v>442299</v>
      </c>
      <c r="B23" t="s">
        <v>610</v>
      </c>
      <c r="C23" s="33">
        <v>0.111</v>
      </c>
      <c r="D23" s="33">
        <v>0</v>
      </c>
      <c r="E23" s="33">
        <v>0.111</v>
      </c>
      <c r="F23" s="33">
        <f>SCE_Ds[[#This Row],[With Margins ($)]]-SCE_Ds[[#This Row],[ without Margins ( $)]]</f>
        <v>0</v>
      </c>
      <c r="G23" s="11" t="str">
        <f>IF(E22&lt;0.5,"Low", "High")</f>
        <v>Low</v>
      </c>
      <c r="H23" s="9">
        <f>SCE_Ds[[#This Row],[Margins ($)]]/SCE_Ds[[#This Row],[With Margins ($)]]</f>
        <v>0</v>
      </c>
    </row>
    <row r="24" spans="1:8" x14ac:dyDescent="0.3">
      <c r="A24">
        <v>519190</v>
      </c>
      <c r="B24" t="s">
        <v>757</v>
      </c>
      <c r="C24" s="33">
        <v>6.4000000000000001E-2</v>
      </c>
      <c r="D24" s="33">
        <v>0</v>
      </c>
      <c r="E24" s="33">
        <v>6.4000000000000001E-2</v>
      </c>
      <c r="F24" s="33">
        <f>SCE_Ds[[#This Row],[With Margins ($)]]-SCE_Ds[[#This Row],[ without Margins ( $)]]</f>
        <v>0</v>
      </c>
      <c r="G24" s="11" t="str">
        <f>IF(E23&lt;0.5,"Low", "High")</f>
        <v>Low</v>
      </c>
      <c r="H24" s="9">
        <f>SCE_Ds[[#This Row],[Margins ($)]]/SCE_Ds[[#This Row],[With Margins ($)]]</f>
        <v>0</v>
      </c>
    </row>
    <row r="25" spans="1:8" x14ac:dyDescent="0.3">
      <c r="A25">
        <v>524298</v>
      </c>
      <c r="B25" t="s">
        <v>796</v>
      </c>
      <c r="C25" s="33">
        <v>2.9000000000000001E-2</v>
      </c>
      <c r="D25" s="33">
        <v>0</v>
      </c>
      <c r="E25" s="33">
        <v>2.9000000000000001E-2</v>
      </c>
      <c r="F25" s="33">
        <f>SCE_Ds[[#This Row],[With Margins ($)]]-SCE_Ds[[#This Row],[ without Margins ( $)]]</f>
        <v>0</v>
      </c>
      <c r="G25" s="11" t="str">
        <f>IF(E24&lt;0.5,"Low", "High")</f>
        <v>Low</v>
      </c>
      <c r="H25" s="9">
        <f>SCE_Ds[[#This Row],[Margins ($)]]/SCE_Ds[[#This Row],[With Margins ($)]]</f>
        <v>0</v>
      </c>
    </row>
    <row r="26" spans="1:8" x14ac:dyDescent="0.3">
      <c r="A26">
        <v>316998</v>
      </c>
      <c r="B26" t="s">
        <v>222</v>
      </c>
      <c r="C26" s="33">
        <v>0.222</v>
      </c>
      <c r="D26" s="33">
        <v>0.06</v>
      </c>
      <c r="E26" s="33">
        <v>0.28199999999999997</v>
      </c>
      <c r="F26" s="33">
        <f>SCE_Ds[[#This Row],[With Margins ($)]]-SCE_Ds[[#This Row],[ without Margins ( $)]]</f>
        <v>5.999999999999997E-2</v>
      </c>
      <c r="G26" s="11" t="str">
        <f>IF(E25&lt;0.5,"Low", "High")</f>
        <v>Low</v>
      </c>
      <c r="H26" s="9">
        <f>SCE_Ds[[#This Row],[Margins ($)]]/SCE_Ds[[#This Row],[With Margins ($)]]</f>
        <v>0.21276595744680851</v>
      </c>
    </row>
    <row r="27" spans="1:8" x14ac:dyDescent="0.3">
      <c r="A27">
        <v>541199</v>
      </c>
      <c r="B27" t="s">
        <v>833</v>
      </c>
      <c r="C27" s="33">
        <v>4.1000000000000002E-2</v>
      </c>
      <c r="D27" s="33">
        <v>0</v>
      </c>
      <c r="E27" s="33">
        <v>4.1000000000000002E-2</v>
      </c>
      <c r="F27" s="33">
        <f>SCE_Ds[[#This Row],[With Margins ($)]]-SCE_Ds[[#This Row],[ without Margins ( $)]]</f>
        <v>0</v>
      </c>
      <c r="G27" s="11" t="str">
        <f>IF(E26&lt;0.5,"Low", "High")</f>
        <v>Low</v>
      </c>
      <c r="H27" s="9">
        <f>SCE_Ds[[#This Row],[Margins ($)]]/SCE_Ds[[#This Row],[With Margins ($)]]</f>
        <v>0</v>
      </c>
    </row>
    <row r="28" spans="1:8" x14ac:dyDescent="0.3">
      <c r="A28">
        <v>212299</v>
      </c>
      <c r="B28" t="s">
        <v>85</v>
      </c>
      <c r="C28" s="33">
        <v>0.54</v>
      </c>
      <c r="D28" s="34">
        <v>5.3999999999999999E-2</v>
      </c>
      <c r="E28" s="33">
        <v>0.59299999999999997</v>
      </c>
      <c r="F28" s="33">
        <f>SCE_Ds[[#This Row],[With Margins ($)]]-SCE_Ds[[#This Row],[ without Margins ( $)]]</f>
        <v>5.2999999999999936E-2</v>
      </c>
      <c r="G28" s="11" t="str">
        <f>IF(E27&lt;0.5,"Low", "High")</f>
        <v>Low</v>
      </c>
      <c r="H28" s="9">
        <f>SCE_Ds[[#This Row],[Margins ($)]]/SCE_Ds[[#This Row],[With Margins ($)]]</f>
        <v>9.1062394603709948E-2</v>
      </c>
    </row>
    <row r="29" spans="1:8" x14ac:dyDescent="0.3">
      <c r="A29">
        <v>621999</v>
      </c>
      <c r="B29" t="s">
        <v>968</v>
      </c>
      <c r="C29" s="33">
        <v>0.18</v>
      </c>
      <c r="D29" s="33">
        <v>0</v>
      </c>
      <c r="E29" s="33">
        <v>0.18</v>
      </c>
      <c r="F29" s="33">
        <f>SCE_Ds[[#This Row],[With Margins ($)]]-SCE_Ds[[#This Row],[ without Margins ( $)]]</f>
        <v>0</v>
      </c>
      <c r="G29" s="11" t="str">
        <f>IF(E28&lt;0.5,"Low", "High")</f>
        <v>High</v>
      </c>
      <c r="H29" s="9">
        <f>SCE_Ds[[#This Row],[Margins ($)]]/SCE_Ds[[#This Row],[With Margins ($)]]</f>
        <v>0</v>
      </c>
    </row>
    <row r="30" spans="1:8" x14ac:dyDescent="0.3">
      <c r="A30">
        <v>325998</v>
      </c>
      <c r="B30" t="s">
        <v>288</v>
      </c>
      <c r="C30" s="33">
        <v>0.47199999999999998</v>
      </c>
      <c r="D30" s="34">
        <v>2.8000000000000001E-2</v>
      </c>
      <c r="E30" s="33">
        <v>0.5</v>
      </c>
      <c r="F30" s="33">
        <f>SCE_Ds[[#This Row],[With Margins ($)]]-SCE_Ds[[#This Row],[ without Margins ( $)]]</f>
        <v>2.8000000000000025E-2</v>
      </c>
      <c r="G30" s="11" t="str">
        <f>IF(E29&lt;0.5,"Low", "High")</f>
        <v>Low</v>
      </c>
      <c r="H30" s="9">
        <f>SCE_Ds[[#This Row],[Margins ($)]]/SCE_Ds[[#This Row],[With Margins ($)]]</f>
        <v>5.6000000000000001E-2</v>
      </c>
    </row>
    <row r="31" spans="1:8" x14ac:dyDescent="0.3">
      <c r="A31">
        <v>111998</v>
      </c>
      <c r="B31" t="s">
        <v>37</v>
      </c>
      <c r="C31" s="33">
        <v>0.70299999999999996</v>
      </c>
      <c r="D31" s="34">
        <v>3.6999999999999998E-2</v>
      </c>
      <c r="E31" s="33">
        <v>0.74</v>
      </c>
      <c r="F31" s="33">
        <f>SCE_Ds[[#This Row],[With Margins ($)]]-SCE_Ds[[#This Row],[ without Margins ( $)]]</f>
        <v>3.7000000000000033E-2</v>
      </c>
      <c r="G31" s="11" t="str">
        <f>IF(E30&lt;0.5,"Low", "High")</f>
        <v>High</v>
      </c>
      <c r="H31" s="9">
        <f>SCE_Ds[[#This Row],[Margins ($)]]/SCE_Ds[[#This Row],[With Margins ($)]]</f>
        <v>4.9999999999999996E-2</v>
      </c>
    </row>
    <row r="32" spans="1:8" x14ac:dyDescent="0.3">
      <c r="A32">
        <v>335999</v>
      </c>
      <c r="B32" t="s">
        <v>466</v>
      </c>
      <c r="C32" s="33">
        <v>0.112</v>
      </c>
      <c r="D32" s="33">
        <v>1.6E-2</v>
      </c>
      <c r="E32" s="33">
        <v>0.128</v>
      </c>
      <c r="F32" s="33">
        <f>SCE_Ds[[#This Row],[With Margins ($)]]-SCE_Ds[[#This Row],[ without Margins ( $)]]</f>
        <v>1.6E-2</v>
      </c>
      <c r="G32" s="11" t="str">
        <f>IF(E31&lt;0.5,"Low", "High")</f>
        <v>High</v>
      </c>
      <c r="H32" s="9">
        <f>SCE_Ds[[#This Row],[Margins ($)]]/SCE_Ds[[#This Row],[With Margins ($)]]</f>
        <v>0.125</v>
      </c>
    </row>
    <row r="33" spans="1:8" x14ac:dyDescent="0.3">
      <c r="A33">
        <v>332999</v>
      </c>
      <c r="B33" t="s">
        <v>379</v>
      </c>
      <c r="C33" s="33">
        <v>0.248</v>
      </c>
      <c r="D33" s="33">
        <v>2.4E-2</v>
      </c>
      <c r="E33" s="33">
        <v>0.27200000000000002</v>
      </c>
      <c r="F33" s="33">
        <f>SCE_Ds[[#This Row],[With Margins ($)]]-SCE_Ds[[#This Row],[ without Margins ( $)]]</f>
        <v>2.4000000000000021E-2</v>
      </c>
      <c r="G33" s="11" t="str">
        <f>IF(E32&lt;0.5,"Low", "High")</f>
        <v>Low</v>
      </c>
      <c r="H33" s="9">
        <f>SCE_Ds[[#This Row],[Margins ($)]]/SCE_Ds[[#This Row],[With Margins ($)]]</f>
        <v>8.8235294117647051E-2</v>
      </c>
    </row>
    <row r="34" spans="1:8" x14ac:dyDescent="0.3">
      <c r="A34">
        <v>311999</v>
      </c>
      <c r="B34" t="s">
        <v>192</v>
      </c>
      <c r="C34" s="33">
        <v>0.35799999999999998</v>
      </c>
      <c r="D34" s="33">
        <v>4.2000000000000003E-2</v>
      </c>
      <c r="E34" s="33">
        <v>0.40100000000000002</v>
      </c>
      <c r="F34" s="33">
        <f>SCE_Ds[[#This Row],[With Margins ($)]]-SCE_Ds[[#This Row],[ without Margins ( $)]]</f>
        <v>4.3000000000000038E-2</v>
      </c>
      <c r="G34" s="11" t="str">
        <f>IF(E33&lt;0.5,"Low", "High")</f>
        <v>Low</v>
      </c>
      <c r="H34" s="9">
        <f>SCE_Ds[[#This Row],[Margins ($)]]/SCE_Ds[[#This Row],[With Margins ($)]]</f>
        <v>0.10473815461346633</v>
      </c>
    </row>
    <row r="35" spans="1:8" x14ac:dyDescent="0.3">
      <c r="A35">
        <v>333999</v>
      </c>
      <c r="B35" t="s">
        <v>422</v>
      </c>
      <c r="C35" s="33">
        <v>0.22800000000000001</v>
      </c>
      <c r="D35" s="33">
        <v>2.1000000000000001E-2</v>
      </c>
      <c r="E35" s="33">
        <v>0.249</v>
      </c>
      <c r="F35" s="33">
        <f>SCE_Ds[[#This Row],[With Margins ($)]]-SCE_Ds[[#This Row],[ without Margins ( $)]]</f>
        <v>2.0999999999999991E-2</v>
      </c>
      <c r="G35" s="11" t="str">
        <f>IF(E34&lt;0.5,"Low", "High")</f>
        <v>Low</v>
      </c>
      <c r="H35" s="9">
        <f>SCE_Ds[[#This Row],[Margins ($)]]/SCE_Ds[[#This Row],[With Margins ($)]]</f>
        <v>8.4337349397590369E-2</v>
      </c>
    </row>
    <row r="36" spans="1:8" x14ac:dyDescent="0.3">
      <c r="A36">
        <v>339999</v>
      </c>
      <c r="B36" t="s">
        <v>525</v>
      </c>
      <c r="C36" s="33">
        <v>0.121</v>
      </c>
      <c r="D36" s="33">
        <v>6.0999999999999999E-2</v>
      </c>
      <c r="E36" s="33">
        <v>0.182</v>
      </c>
      <c r="F36" s="33">
        <f>SCE_Ds[[#This Row],[With Margins ($)]]-SCE_Ds[[#This Row],[ without Margins ( $)]]</f>
        <v>6.0999999999999999E-2</v>
      </c>
      <c r="G36" s="11" t="str">
        <f>IF(E35&lt;0.5,"Low", "High")</f>
        <v>Low</v>
      </c>
      <c r="H36" s="9">
        <f>SCE_Ds[[#This Row],[Margins ($)]]/SCE_Ds[[#This Row],[With Margins ($)]]</f>
        <v>0.33516483516483514</v>
      </c>
    </row>
    <row r="37" spans="1:8" x14ac:dyDescent="0.3">
      <c r="A37">
        <v>327999</v>
      </c>
      <c r="B37" t="s">
        <v>322</v>
      </c>
      <c r="C37" s="33">
        <v>0.71899999999999997</v>
      </c>
      <c r="D37" s="33">
        <v>6.8000000000000005E-2</v>
      </c>
      <c r="E37" s="33">
        <v>0.78700000000000003</v>
      </c>
      <c r="F37" s="33">
        <f>SCE_Ds[[#This Row],[With Margins ($)]]-SCE_Ds[[#This Row],[ without Margins ( $)]]</f>
        <v>6.800000000000006E-2</v>
      </c>
      <c r="G37" s="11" t="str">
        <f>IF(E36&lt;0.5,"Low", "High")</f>
        <v>Low</v>
      </c>
      <c r="H37" s="9">
        <f>SCE_Ds[[#This Row],[Margins ($)]]/SCE_Ds[[#This Row],[With Margins ($)]]</f>
        <v>8.6404066073697591E-2</v>
      </c>
    </row>
    <row r="38" spans="1:8" x14ac:dyDescent="0.3">
      <c r="A38">
        <v>611699</v>
      </c>
      <c r="B38" t="s">
        <v>946</v>
      </c>
      <c r="C38" s="33">
        <v>0.108</v>
      </c>
      <c r="D38" s="33">
        <v>0</v>
      </c>
      <c r="E38" s="33">
        <v>0.108</v>
      </c>
      <c r="F38" s="33">
        <f>SCE_Ds[[#This Row],[With Margins ($)]]-SCE_Ds[[#This Row],[ without Margins ( $)]]</f>
        <v>0</v>
      </c>
      <c r="G38" s="11" t="str">
        <f>IF(E37&lt;0.5,"Low", "High")</f>
        <v>High</v>
      </c>
      <c r="H38" s="9">
        <f>SCE_Ds[[#This Row],[Margins ($)]]/SCE_Ds[[#This Row],[With Margins ($)]]</f>
        <v>0</v>
      </c>
    </row>
    <row r="39" spans="1:8" x14ac:dyDescent="0.3">
      <c r="A39">
        <v>453998</v>
      </c>
      <c r="B39" t="s">
        <v>661</v>
      </c>
      <c r="C39" s="33">
        <v>0.111</v>
      </c>
      <c r="D39" s="33">
        <v>0</v>
      </c>
      <c r="E39" s="33">
        <v>0.111</v>
      </c>
      <c r="F39" s="33">
        <f>SCE_Ds[[#This Row],[With Margins ($)]]-SCE_Ds[[#This Row],[ without Margins ( $)]]</f>
        <v>0</v>
      </c>
      <c r="G39" s="11" t="str">
        <f>IF(E38&lt;0.5,"Low", "High")</f>
        <v>Low</v>
      </c>
      <c r="H39" s="9">
        <f>SCE_Ds[[#This Row],[Margins ($)]]/SCE_Ds[[#This Row],[With Margins ($)]]</f>
        <v>0</v>
      </c>
    </row>
    <row r="40" spans="1:8" x14ac:dyDescent="0.3">
      <c r="A40">
        <v>314999</v>
      </c>
      <c r="B40" t="s">
        <v>211</v>
      </c>
      <c r="C40" s="33">
        <v>0.19700000000000001</v>
      </c>
      <c r="D40" s="33">
        <v>4.5999999999999999E-2</v>
      </c>
      <c r="E40" s="33">
        <v>0.24299999999999999</v>
      </c>
      <c r="F40" s="33">
        <f>SCE_Ds[[#This Row],[With Margins ($)]]-SCE_Ds[[#This Row],[ without Margins ( $)]]</f>
        <v>4.5999999999999985E-2</v>
      </c>
      <c r="G40" s="11" t="str">
        <f>IF(E39&lt;0.5,"Low", "High")</f>
        <v>Low</v>
      </c>
      <c r="H40" s="9">
        <f>SCE_Ds[[#This Row],[Margins ($)]]/SCE_Ds[[#This Row],[With Margins ($)]]</f>
        <v>0.18930041152263374</v>
      </c>
    </row>
    <row r="41" spans="1:8" x14ac:dyDescent="0.3">
      <c r="A41">
        <v>562998</v>
      </c>
      <c r="B41" t="s">
        <v>928</v>
      </c>
      <c r="C41" s="33">
        <v>0.98799999999999999</v>
      </c>
      <c r="D41" s="34">
        <v>0</v>
      </c>
      <c r="E41" s="33">
        <v>0.98799999999999999</v>
      </c>
      <c r="F41" s="33">
        <f>SCE_Ds[[#This Row],[With Margins ($)]]-SCE_Ds[[#This Row],[ without Margins ( $)]]</f>
        <v>0</v>
      </c>
      <c r="G41" s="11" t="str">
        <f>IF(E40&lt;0.5,"Low", "High")</f>
        <v>Low</v>
      </c>
      <c r="H41" s="9">
        <f>SCE_Ds[[#This Row],[Margins ($)]]/SCE_Ds[[#This Row],[With Margins ($)]]</f>
        <v>0</v>
      </c>
    </row>
    <row r="42" spans="1:8" x14ac:dyDescent="0.3">
      <c r="A42">
        <v>321999</v>
      </c>
      <c r="B42" t="s">
        <v>237</v>
      </c>
      <c r="C42" s="33">
        <v>0.13500000000000001</v>
      </c>
      <c r="D42" s="33">
        <v>2.9000000000000001E-2</v>
      </c>
      <c r="E42" s="33">
        <v>0.16400000000000001</v>
      </c>
      <c r="F42" s="33">
        <f>SCE_Ds[[#This Row],[With Margins ($)]]-SCE_Ds[[#This Row],[ without Margins ( $)]]</f>
        <v>2.8999999999999998E-2</v>
      </c>
      <c r="G42" s="11" t="str">
        <f>IF(E41&lt;0.5,"Low", "High")</f>
        <v>High</v>
      </c>
      <c r="H42" s="9">
        <f>SCE_Ds[[#This Row],[Margins ($)]]/SCE_Ds[[#This Row],[With Margins ($)]]</f>
        <v>0.17682926829268292</v>
      </c>
    </row>
    <row r="43" spans="1:8" x14ac:dyDescent="0.3">
      <c r="A43">
        <v>522298</v>
      </c>
      <c r="B43" t="s">
        <v>771</v>
      </c>
      <c r="C43" s="33">
        <v>7.1999999999999995E-2</v>
      </c>
      <c r="D43" s="33">
        <v>0</v>
      </c>
      <c r="E43" s="33">
        <v>7.1999999999999995E-2</v>
      </c>
      <c r="F43" s="33">
        <f>SCE_Ds[[#This Row],[With Margins ($)]]-SCE_Ds[[#This Row],[ without Margins ( $)]]</f>
        <v>0</v>
      </c>
      <c r="G43" s="11" t="str">
        <f>IF(E42&lt;0.5,"Low", "High")</f>
        <v>Low</v>
      </c>
      <c r="H43" s="9">
        <f>SCE_Ds[[#This Row],[Margins ($)]]/SCE_Ds[[#This Row],[With Margins ($)]]</f>
        <v>0</v>
      </c>
    </row>
    <row r="44" spans="1:8" x14ac:dyDescent="0.3">
      <c r="A44">
        <v>212399</v>
      </c>
      <c r="B44" t="s">
        <v>98</v>
      </c>
      <c r="C44" s="33">
        <v>0.184</v>
      </c>
      <c r="D44" s="33">
        <v>0.125</v>
      </c>
      <c r="E44" s="33">
        <v>0.309</v>
      </c>
      <c r="F44" s="33">
        <f>SCE_Ds[[#This Row],[With Margins ($)]]-SCE_Ds[[#This Row],[ without Margins ( $)]]</f>
        <v>0.125</v>
      </c>
      <c r="G44" s="11" t="str">
        <f>IF(E43&lt;0.5,"Low", "High")</f>
        <v>Low</v>
      </c>
      <c r="H44" s="9">
        <f>SCE_Ds[[#This Row],[Margins ($)]]/SCE_Ds[[#This Row],[With Margins ($)]]</f>
        <v>0.4045307443365696</v>
      </c>
    </row>
    <row r="45" spans="1:8" x14ac:dyDescent="0.3">
      <c r="A45">
        <v>621498</v>
      </c>
      <c r="B45" t="s">
        <v>962</v>
      </c>
      <c r="C45" s="33">
        <v>9.6000000000000002E-2</v>
      </c>
      <c r="D45" s="33">
        <v>0</v>
      </c>
      <c r="E45" s="33">
        <v>9.6000000000000002E-2</v>
      </c>
      <c r="F45" s="33">
        <f>SCE_Ds[[#This Row],[With Margins ($)]]-SCE_Ds[[#This Row],[ without Margins ( $)]]</f>
        <v>0</v>
      </c>
      <c r="G45" s="11" t="str">
        <f>IF(E44&lt;0.5,"Low", "High")</f>
        <v>Low</v>
      </c>
      <c r="H45" s="9">
        <f>SCE_Ds[[#This Row],[Margins ($)]]/SCE_Ds[[#This Row],[With Margins ($)]]</f>
        <v>0</v>
      </c>
    </row>
    <row r="46" spans="1:8" x14ac:dyDescent="0.3">
      <c r="A46">
        <v>812990</v>
      </c>
      <c r="B46" t="s">
        <v>1066</v>
      </c>
      <c r="C46" s="33">
        <v>0.111</v>
      </c>
      <c r="D46" s="33">
        <v>0</v>
      </c>
      <c r="E46" s="33">
        <v>0.111</v>
      </c>
      <c r="F46" s="33">
        <f>SCE_Ds[[#This Row],[With Margins ($)]]-SCE_Ds[[#This Row],[ without Margins ( $)]]</f>
        <v>0</v>
      </c>
      <c r="G46" s="11" t="str">
        <f>IF(E45&lt;0.5,"Low", "High")</f>
        <v>Low</v>
      </c>
      <c r="H46" s="9">
        <f>SCE_Ds[[#This Row],[Margins ($)]]/SCE_Ds[[#This Row],[With Margins ($)]]</f>
        <v>0</v>
      </c>
    </row>
    <row r="47" spans="1:8" x14ac:dyDescent="0.3">
      <c r="A47">
        <v>324199</v>
      </c>
      <c r="B47" t="s">
        <v>257</v>
      </c>
      <c r="C47" s="33">
        <v>0.35899999999999999</v>
      </c>
      <c r="D47" s="33">
        <v>3.2000000000000001E-2</v>
      </c>
      <c r="E47" s="33">
        <v>0.39100000000000001</v>
      </c>
      <c r="F47" s="33">
        <f>SCE_Ds[[#This Row],[With Margins ($)]]-SCE_Ds[[#This Row],[ without Margins ( $)]]</f>
        <v>3.2000000000000028E-2</v>
      </c>
      <c r="G47" s="11" t="str">
        <f>IF(E46&lt;0.5,"Low", "High")</f>
        <v>Low</v>
      </c>
      <c r="H47" s="9">
        <f>SCE_Ds[[#This Row],[Margins ($)]]/SCE_Ds[[#This Row],[With Margins ($)]]</f>
        <v>8.1841432225063931E-2</v>
      </c>
    </row>
    <row r="48" spans="1:8" x14ac:dyDescent="0.3">
      <c r="A48">
        <v>486990</v>
      </c>
      <c r="B48" t="s">
        <v>699</v>
      </c>
      <c r="C48" s="33">
        <v>1.619</v>
      </c>
      <c r="D48" s="34">
        <v>0</v>
      </c>
      <c r="E48" s="33">
        <v>1.619</v>
      </c>
      <c r="F48" s="33">
        <f>SCE_Ds[[#This Row],[With Margins ($)]]-SCE_Ds[[#This Row],[ without Margins ( $)]]</f>
        <v>0</v>
      </c>
      <c r="G48" s="11" t="str">
        <f>IF(E47&lt;0.5,"Low", "High")</f>
        <v>Low</v>
      </c>
      <c r="H48" s="9">
        <f>SCE_Ds[[#This Row],[Margins ($)]]/SCE_Ds[[#This Row],[With Margins ($)]]</f>
        <v>0</v>
      </c>
    </row>
    <row r="49" spans="1:8" x14ac:dyDescent="0.3">
      <c r="A49">
        <v>326199</v>
      </c>
      <c r="B49" t="s">
        <v>299</v>
      </c>
      <c r="C49" s="33">
        <v>0.34399999999999997</v>
      </c>
      <c r="D49" s="33">
        <v>2.7E-2</v>
      </c>
      <c r="E49" s="33">
        <v>0.371</v>
      </c>
      <c r="F49" s="33">
        <f>SCE_Ds[[#This Row],[With Margins ($)]]-SCE_Ds[[#This Row],[ without Margins ( $)]]</f>
        <v>2.7000000000000024E-2</v>
      </c>
      <c r="G49" s="11" t="str">
        <f>IF(E48&lt;0.5,"Low", "High")</f>
        <v>High</v>
      </c>
      <c r="H49" s="9">
        <f>SCE_Ds[[#This Row],[Margins ($)]]/SCE_Ds[[#This Row],[With Margins ($)]]</f>
        <v>7.277628032345014E-2</v>
      </c>
    </row>
    <row r="50" spans="1:8" x14ac:dyDescent="0.3">
      <c r="A50">
        <v>541990</v>
      </c>
      <c r="B50" t="s">
        <v>881</v>
      </c>
      <c r="C50" s="33">
        <v>0.08</v>
      </c>
      <c r="D50" s="33">
        <v>0</v>
      </c>
      <c r="E50" s="33">
        <v>0.08</v>
      </c>
      <c r="F50" s="33">
        <f>SCE_Ds[[#This Row],[With Margins ($)]]-SCE_Ds[[#This Row],[ without Margins ( $)]]</f>
        <v>0</v>
      </c>
      <c r="G50" s="11" t="str">
        <f>IF(E49&lt;0.5,"Low", "High")</f>
        <v>Low</v>
      </c>
      <c r="H50" s="9">
        <f>SCE_Ds[[#This Row],[Margins ($)]]/SCE_Ds[[#This Row],[With Margins ($)]]</f>
        <v>0</v>
      </c>
    </row>
    <row r="51" spans="1:8" x14ac:dyDescent="0.3">
      <c r="A51">
        <v>511199</v>
      </c>
      <c r="B51" t="s">
        <v>730</v>
      </c>
      <c r="C51" s="33">
        <v>5.2999999999999999E-2</v>
      </c>
      <c r="D51" s="33">
        <v>5.5E-2</v>
      </c>
      <c r="E51" s="33">
        <v>0.108</v>
      </c>
      <c r="F51" s="33">
        <f>SCE_Ds[[#This Row],[With Margins ($)]]-SCE_Ds[[#This Row],[ without Margins ( $)]]</f>
        <v>5.5E-2</v>
      </c>
      <c r="G51" s="11" t="str">
        <f>IF(E50&lt;0.5,"Low", "High")</f>
        <v>Low</v>
      </c>
      <c r="H51" s="9">
        <f>SCE_Ds[[#This Row],[Margins ($)]]/SCE_Ds[[#This Row],[With Margins ($)]]</f>
        <v>0.5092592592592593</v>
      </c>
    </row>
    <row r="52" spans="1:8" x14ac:dyDescent="0.3">
      <c r="A52">
        <v>326299</v>
      </c>
      <c r="B52" t="s">
        <v>304</v>
      </c>
      <c r="C52" s="33">
        <v>0.313</v>
      </c>
      <c r="D52" s="33">
        <v>0.03</v>
      </c>
      <c r="E52" s="33">
        <v>0.34300000000000003</v>
      </c>
      <c r="F52" s="33">
        <f>SCE_Ds[[#This Row],[With Margins ($)]]-SCE_Ds[[#This Row],[ without Margins ( $)]]</f>
        <v>3.0000000000000027E-2</v>
      </c>
      <c r="G52" s="11" t="str">
        <f>IF(E51&lt;0.5,"Low", "High")</f>
        <v>Low</v>
      </c>
      <c r="H52" s="9">
        <f>SCE_Ds[[#This Row],[Margins ($)]]/SCE_Ds[[#This Row],[With Margins ($)]]</f>
        <v>8.7463556851311949E-2</v>
      </c>
    </row>
    <row r="53" spans="1:8" x14ac:dyDescent="0.3">
      <c r="A53">
        <v>445299</v>
      </c>
      <c r="B53" t="s">
        <v>626</v>
      </c>
      <c r="C53" s="33">
        <v>0.186</v>
      </c>
      <c r="D53" s="33">
        <v>0</v>
      </c>
      <c r="E53" s="33">
        <v>0.186</v>
      </c>
      <c r="F53" s="33">
        <f>SCE_Ds[[#This Row],[With Margins ($)]]-SCE_Ds[[#This Row],[ without Margins ( $)]]</f>
        <v>0</v>
      </c>
      <c r="G53" s="11" t="str">
        <f>IF(E52&lt;0.5,"Low", "High")</f>
        <v>Low</v>
      </c>
      <c r="H53" s="9">
        <f>SCE_Ds[[#This Row],[Margins ($)]]/SCE_Ds[[#This Row],[With Margins ($)]]</f>
        <v>0</v>
      </c>
    </row>
    <row r="54" spans="1:8" x14ac:dyDescent="0.3">
      <c r="A54">
        <v>238990</v>
      </c>
      <c r="B54" t="s">
        <v>146</v>
      </c>
      <c r="C54" s="33">
        <v>0.221</v>
      </c>
      <c r="D54" s="33">
        <v>0</v>
      </c>
      <c r="E54" s="33">
        <v>0.221</v>
      </c>
      <c r="F54" s="33">
        <f>SCE_Ds[[#This Row],[With Margins ($)]]-SCE_Ds[[#This Row],[ without Margins ( $)]]</f>
        <v>0</v>
      </c>
      <c r="G54" s="11" t="str">
        <f>IF(E53&lt;0.5,"Low", "High")</f>
        <v>Low</v>
      </c>
      <c r="H54" s="9">
        <f>SCE_Ds[[#This Row],[Margins ($)]]/SCE_Ds[[#This Row],[With Margins ($)]]</f>
        <v>0</v>
      </c>
    </row>
    <row r="55" spans="1:8" x14ac:dyDescent="0.3">
      <c r="A55">
        <v>488999</v>
      </c>
      <c r="B55" t="s">
        <v>716</v>
      </c>
      <c r="C55" s="33">
        <v>0.16200000000000001</v>
      </c>
      <c r="D55" s="33">
        <v>0</v>
      </c>
      <c r="E55" s="33">
        <v>0.16200000000000001</v>
      </c>
      <c r="F55" s="33">
        <f>SCE_Ds[[#This Row],[With Margins ($)]]-SCE_Ds[[#This Row],[ without Margins ( $)]]</f>
        <v>0</v>
      </c>
      <c r="G55" s="11" t="str">
        <f>IF(E54&lt;0.5,"Low", "High")</f>
        <v>Low</v>
      </c>
      <c r="H55" s="9">
        <f>SCE_Ds[[#This Row],[Margins ($)]]/SCE_Ds[[#This Row],[With Margins ($)]]</f>
        <v>0</v>
      </c>
    </row>
    <row r="56" spans="1:8" x14ac:dyDescent="0.3">
      <c r="A56">
        <v>561990</v>
      </c>
      <c r="B56" t="s">
        <v>917</v>
      </c>
      <c r="C56" s="33">
        <v>0.127</v>
      </c>
      <c r="D56" s="33">
        <v>0</v>
      </c>
      <c r="E56" s="33">
        <v>0.127</v>
      </c>
      <c r="F56" s="33">
        <f>SCE_Ds[[#This Row],[With Margins ($)]]-SCE_Ds[[#This Row],[ without Margins ( $)]]</f>
        <v>0</v>
      </c>
      <c r="G56" s="11" t="str">
        <f>IF(E55&lt;0.5,"Low", "High")</f>
        <v>Low</v>
      </c>
      <c r="H56" s="9">
        <f>SCE_Ds[[#This Row],[Margins ($)]]/SCE_Ds[[#This Row],[With Margins ($)]]</f>
        <v>0</v>
      </c>
    </row>
    <row r="57" spans="1:8" x14ac:dyDescent="0.3">
      <c r="A57">
        <v>517919</v>
      </c>
      <c r="B57" t="s">
        <v>751</v>
      </c>
      <c r="C57" s="33">
        <v>7.8E-2</v>
      </c>
      <c r="D57" s="33">
        <v>0</v>
      </c>
      <c r="E57" s="33">
        <v>7.8E-2</v>
      </c>
      <c r="F57" s="33">
        <f>SCE_Ds[[#This Row],[With Margins ($)]]-SCE_Ds[[#This Row],[ without Margins ( $)]]</f>
        <v>0</v>
      </c>
      <c r="G57" s="11" t="str">
        <f>IF(E56&lt;0.5,"Low", "High")</f>
        <v>Low</v>
      </c>
      <c r="H57" s="9">
        <f>SCE_Ds[[#This Row],[Margins ($)]]/SCE_Ds[[#This Row],[With Margins ($)]]</f>
        <v>0</v>
      </c>
    </row>
    <row r="58" spans="1:8" x14ac:dyDescent="0.3">
      <c r="A58">
        <v>485999</v>
      </c>
      <c r="B58" t="s">
        <v>695</v>
      </c>
      <c r="C58" s="33">
        <v>0.56599999999999995</v>
      </c>
      <c r="D58" s="34">
        <v>0</v>
      </c>
      <c r="E58" s="33">
        <v>0.56599999999999995</v>
      </c>
      <c r="F58" s="33">
        <f>SCE_Ds[[#This Row],[With Margins ($)]]-SCE_Ds[[#This Row],[ without Margins ( $)]]</f>
        <v>0</v>
      </c>
      <c r="G58" s="11" t="str">
        <f>IF(E57&lt;0.5,"Low", "High")</f>
        <v>Low</v>
      </c>
      <c r="H58" s="9">
        <f>SCE_Ds[[#This Row],[Margins ($)]]/SCE_Ds[[#This Row],[With Margins ($)]]</f>
        <v>0</v>
      </c>
    </row>
    <row r="59" spans="1:8" x14ac:dyDescent="0.3">
      <c r="A59">
        <v>336999</v>
      </c>
      <c r="B59" t="s">
        <v>495</v>
      </c>
      <c r="C59" s="33">
        <v>0.157</v>
      </c>
      <c r="D59" s="33">
        <v>3.7999999999999999E-2</v>
      </c>
      <c r="E59" s="33">
        <v>0.19500000000000001</v>
      </c>
      <c r="F59" s="33">
        <f>SCE_Ds[[#This Row],[With Margins ($)]]-SCE_Ds[[#This Row],[ without Margins ( $)]]</f>
        <v>3.8000000000000006E-2</v>
      </c>
      <c r="G59" s="11" t="str">
        <f>IF(E58&lt;0.5,"Low", "High")</f>
        <v>High</v>
      </c>
      <c r="H59" s="9">
        <f>SCE_Ds[[#This Row],[Margins ($)]]/SCE_Ds[[#This Row],[With Margins ($)]]</f>
        <v>0.19487179487179487</v>
      </c>
    </row>
    <row r="60" spans="1:8" x14ac:dyDescent="0.3">
      <c r="A60">
        <v>561599</v>
      </c>
      <c r="B60" t="s">
        <v>904</v>
      </c>
      <c r="C60" s="33">
        <v>8.7999999999999995E-2</v>
      </c>
      <c r="D60" s="33">
        <v>0</v>
      </c>
      <c r="E60" s="33">
        <v>8.7999999999999995E-2</v>
      </c>
      <c r="F60" s="33">
        <f>SCE_Ds[[#This Row],[With Margins ($)]]-SCE_Ds[[#This Row],[ without Margins ( $)]]</f>
        <v>0</v>
      </c>
      <c r="G60" s="11" t="str">
        <f>IF(E59&lt;0.5,"Low", "High")</f>
        <v>Low</v>
      </c>
      <c r="H60" s="9">
        <f>SCE_Ds[[#This Row],[Margins ($)]]/SCE_Ds[[#This Row],[With Margins ($)]]</f>
        <v>0</v>
      </c>
    </row>
    <row r="61" spans="1:8" x14ac:dyDescent="0.3">
      <c r="A61">
        <v>721199</v>
      </c>
      <c r="B61" t="s">
        <v>1019</v>
      </c>
      <c r="C61" s="33">
        <v>0.14499999999999999</v>
      </c>
      <c r="D61" s="33">
        <v>0</v>
      </c>
      <c r="E61" s="33">
        <v>0.14499999999999999</v>
      </c>
      <c r="F61" s="33">
        <f>SCE_Ds[[#This Row],[With Margins ($)]]-SCE_Ds[[#This Row],[ without Margins ( $)]]</f>
        <v>0</v>
      </c>
      <c r="G61" s="11" t="str">
        <f>IF(E60&lt;0.5,"Low", "High")</f>
        <v>Low</v>
      </c>
      <c r="H61" s="9">
        <f>SCE_Ds[[#This Row],[Margins ($)]]/SCE_Ds[[#This Row],[With Margins ($)]]</f>
        <v>0</v>
      </c>
    </row>
    <row r="62" spans="1:8" x14ac:dyDescent="0.3">
      <c r="A62">
        <v>331313</v>
      </c>
      <c r="B62" t="s">
        <v>327</v>
      </c>
      <c r="C62" s="33">
        <v>1.0029999999999999</v>
      </c>
      <c r="D62" s="33">
        <v>1.4E-2</v>
      </c>
      <c r="E62" s="33">
        <v>1.018</v>
      </c>
      <c r="F62" s="33">
        <f>SCE_Ds[[#This Row],[With Margins ($)]]-SCE_Ds[[#This Row],[ without Margins ( $)]]</f>
        <v>1.5000000000000124E-2</v>
      </c>
      <c r="G62" s="11" t="str">
        <f>IF(E61&lt;0.5,"Low", "High")</f>
        <v>Low</v>
      </c>
      <c r="H62" s="9">
        <f>SCE_Ds[[#This Row],[Margins ($)]]/SCE_Ds[[#This Row],[With Margins ($)]]</f>
        <v>1.37524557956778E-2</v>
      </c>
    </row>
    <row r="63" spans="1:8" x14ac:dyDescent="0.3">
      <c r="A63">
        <v>331524</v>
      </c>
      <c r="B63" t="s">
        <v>339</v>
      </c>
      <c r="C63" s="33">
        <v>0.438</v>
      </c>
      <c r="D63" s="33">
        <v>2.5000000000000001E-2</v>
      </c>
      <c r="E63" s="33">
        <v>0.46200000000000002</v>
      </c>
      <c r="F63" s="33">
        <f>SCE_Ds[[#This Row],[With Margins ($)]]-SCE_Ds[[#This Row],[ without Margins ( $)]]</f>
        <v>2.4000000000000021E-2</v>
      </c>
      <c r="G63" s="11" t="str">
        <f>IF(E62&lt;0.5,"Low", "High")</f>
        <v>High</v>
      </c>
      <c r="H63" s="9">
        <f>SCE_Ds[[#This Row],[Margins ($)]]/SCE_Ds[[#This Row],[With Margins ($)]]</f>
        <v>5.4112554112554112E-2</v>
      </c>
    </row>
    <row r="64" spans="1:8" x14ac:dyDescent="0.3">
      <c r="A64">
        <v>331315</v>
      </c>
      <c r="B64" t="s">
        <v>328</v>
      </c>
      <c r="C64" s="33">
        <v>0.7</v>
      </c>
      <c r="D64" s="34">
        <v>2.1000000000000001E-2</v>
      </c>
      <c r="E64" s="33">
        <v>0.72099999999999997</v>
      </c>
      <c r="F64" s="33">
        <f>SCE_Ds[[#This Row],[With Margins ($)]]-SCE_Ds[[#This Row],[ without Margins ( $)]]</f>
        <v>2.1000000000000019E-2</v>
      </c>
      <c r="G64" s="11" t="str">
        <f>IF(E63&lt;0.5,"Low", "High")</f>
        <v>Low</v>
      </c>
      <c r="H64" s="9">
        <f>SCE_Ds[[#This Row],[Margins ($)]]/SCE_Ds[[#This Row],[With Margins ($)]]</f>
        <v>2.9126213592233014E-2</v>
      </c>
    </row>
    <row r="65" spans="1:8" x14ac:dyDescent="0.3">
      <c r="A65">
        <v>621910</v>
      </c>
      <c r="B65" t="s">
        <v>966</v>
      </c>
      <c r="C65" s="33">
        <v>0.18</v>
      </c>
      <c r="D65" s="33">
        <v>0</v>
      </c>
      <c r="E65" s="33">
        <v>0.18</v>
      </c>
      <c r="F65" s="33">
        <f>SCE_Ds[[#This Row],[With Margins ($)]]-SCE_Ds[[#This Row],[ without Margins ( $)]]</f>
        <v>0</v>
      </c>
      <c r="G65" s="11" t="str">
        <f>IF(E64&lt;0.5,"Low", "High")</f>
        <v>High</v>
      </c>
      <c r="H65" s="9">
        <f>SCE_Ds[[#This Row],[Margins ($)]]/SCE_Ds[[#This Row],[With Margins ($)]]</f>
        <v>0</v>
      </c>
    </row>
    <row r="66" spans="1:8" x14ac:dyDescent="0.3">
      <c r="A66">
        <v>332993</v>
      </c>
      <c r="B66" t="s">
        <v>376</v>
      </c>
      <c r="C66" s="33">
        <v>0.115</v>
      </c>
      <c r="D66" s="33">
        <v>5.3999999999999999E-2</v>
      </c>
      <c r="E66" s="33">
        <v>0.16800000000000001</v>
      </c>
      <c r="F66" s="33">
        <f>SCE_Ds[[#This Row],[With Margins ($)]]-SCE_Ds[[#This Row],[ without Margins ( $)]]</f>
        <v>5.3000000000000005E-2</v>
      </c>
      <c r="G66" s="11" t="str">
        <f>IF(E65&lt;0.5,"Low", "High")</f>
        <v>Low</v>
      </c>
      <c r="H66" s="9">
        <f>SCE_Ds[[#This Row],[Margins ($)]]/SCE_Ds[[#This Row],[With Margins ($)]]</f>
        <v>0.3214285714285714</v>
      </c>
    </row>
    <row r="67" spans="1:8" x14ac:dyDescent="0.3">
      <c r="A67">
        <v>713110</v>
      </c>
      <c r="B67" t="s">
        <v>1006</v>
      </c>
      <c r="C67" s="33">
        <v>0.16700000000000001</v>
      </c>
      <c r="D67" s="33">
        <v>0</v>
      </c>
      <c r="E67" s="33">
        <v>0.16700000000000001</v>
      </c>
      <c r="F67" s="33">
        <f>SCE_Ds[[#This Row],[With Margins ($)]]-SCE_Ds[[#This Row],[ without Margins ( $)]]</f>
        <v>0</v>
      </c>
      <c r="G67" s="11" t="str">
        <f>IF(E66&lt;0.5,"Low", "High")</f>
        <v>Low</v>
      </c>
      <c r="H67" s="9">
        <f>SCE_Ds[[#This Row],[Margins ($)]]/SCE_Ds[[#This Row],[With Margins ($)]]</f>
        <v>0</v>
      </c>
    </row>
    <row r="68" spans="1:8" x14ac:dyDescent="0.3">
      <c r="A68">
        <v>713120</v>
      </c>
      <c r="B68" t="s">
        <v>1007</v>
      </c>
      <c r="C68" s="33">
        <v>0.16700000000000001</v>
      </c>
      <c r="D68" s="33">
        <v>0</v>
      </c>
      <c r="E68" s="33">
        <v>0.16700000000000001</v>
      </c>
      <c r="F68" s="33">
        <f>SCE_Ds[[#This Row],[With Margins ($)]]-SCE_Ds[[#This Row],[ without Margins ( $)]]</f>
        <v>0</v>
      </c>
      <c r="G68" s="11" t="str">
        <f>IF(E67&lt;0.5,"Low", "High")</f>
        <v>Low</v>
      </c>
      <c r="H68" s="9">
        <f>SCE_Ds[[#This Row],[Margins ($)]]/SCE_Ds[[#This Row],[With Margins ($)]]</f>
        <v>0</v>
      </c>
    </row>
    <row r="69" spans="1:8" x14ac:dyDescent="0.3">
      <c r="A69">
        <v>334516</v>
      </c>
      <c r="B69" t="s">
        <v>443</v>
      </c>
      <c r="C69" s="33">
        <v>7.8E-2</v>
      </c>
      <c r="D69" s="33">
        <v>2.4E-2</v>
      </c>
      <c r="E69" s="33">
        <v>0.10199999999999999</v>
      </c>
      <c r="F69" s="33">
        <f>SCE_Ds[[#This Row],[With Margins ($)]]-SCE_Ds[[#This Row],[ without Margins ( $)]]</f>
        <v>2.3999999999999994E-2</v>
      </c>
      <c r="G69" s="11" t="str">
        <f>IF(E68&lt;0.5,"Low", "High")</f>
        <v>Low</v>
      </c>
      <c r="H69" s="9">
        <f>SCE_Ds[[#This Row],[Margins ($)]]/SCE_Ds[[#This Row],[With Margins ($)]]</f>
        <v>0.23529411764705885</v>
      </c>
    </row>
    <row r="70" spans="1:8" x14ac:dyDescent="0.3">
      <c r="A70">
        <v>311611</v>
      </c>
      <c r="B70" t="s">
        <v>172</v>
      </c>
      <c r="C70" s="33">
        <v>1.0860000000000001</v>
      </c>
      <c r="D70" s="34">
        <v>3.3000000000000002E-2</v>
      </c>
      <c r="E70" s="33">
        <v>1.1200000000000001</v>
      </c>
      <c r="F70" s="33">
        <f>SCE_Ds[[#This Row],[With Margins ($)]]-SCE_Ds[[#This Row],[ without Margins ( $)]]</f>
        <v>3.400000000000003E-2</v>
      </c>
      <c r="G70" s="11" t="str">
        <f>IF(E69&lt;0.5,"Low", "High")</f>
        <v>Low</v>
      </c>
      <c r="H70" s="9">
        <f>SCE_Ds[[#This Row],[Margins ($)]]/SCE_Ds[[#This Row],[With Margins ($)]]</f>
        <v>2.9464285714285714E-2</v>
      </c>
    </row>
    <row r="71" spans="1:8" x14ac:dyDescent="0.3">
      <c r="A71">
        <v>212113</v>
      </c>
      <c r="B71" t="s">
        <v>78</v>
      </c>
      <c r="C71" s="33">
        <v>0.747</v>
      </c>
      <c r="D71" s="34">
        <v>9.4E-2</v>
      </c>
      <c r="E71" s="33">
        <v>0.84099999999999997</v>
      </c>
      <c r="F71" s="33">
        <f>SCE_Ds[[#This Row],[With Margins ($)]]-SCE_Ds[[#This Row],[ without Margins ( $)]]</f>
        <v>9.3999999999999972E-2</v>
      </c>
      <c r="G71" s="11" t="str">
        <f>IF(E70&lt;0.5,"Low", "High")</f>
        <v>High</v>
      </c>
      <c r="H71" s="9">
        <f>SCE_Ds[[#This Row],[Margins ($)]]/SCE_Ds[[#This Row],[With Margins ($)]]</f>
        <v>0.1117717003567182</v>
      </c>
    </row>
    <row r="72" spans="1:8" x14ac:dyDescent="0.3">
      <c r="A72">
        <v>112910</v>
      </c>
      <c r="B72" t="s">
        <v>55</v>
      </c>
      <c r="C72" s="33">
        <v>1.077</v>
      </c>
      <c r="D72" s="34">
        <v>5.0999999999999997E-2</v>
      </c>
      <c r="E72" s="33">
        <v>1.1279999999999999</v>
      </c>
      <c r="F72" s="33">
        <f>SCE_Ds[[#This Row],[With Margins ($)]]-SCE_Ds[[#This Row],[ without Margins ( $)]]</f>
        <v>5.0999999999999934E-2</v>
      </c>
      <c r="G72" s="11" t="str">
        <f>IF(E71&lt;0.5,"Low", "High")</f>
        <v>High</v>
      </c>
      <c r="H72" s="9">
        <f>SCE_Ds[[#This Row],[Margins ($)]]/SCE_Ds[[#This Row],[With Margins ($)]]</f>
        <v>4.5212765957446811E-2</v>
      </c>
    </row>
    <row r="73" spans="1:8" x14ac:dyDescent="0.3">
      <c r="A73">
        <v>315990</v>
      </c>
      <c r="B73" t="s">
        <v>218</v>
      </c>
      <c r="C73" s="33">
        <v>0.06</v>
      </c>
      <c r="D73" s="33">
        <v>0.06</v>
      </c>
      <c r="E73" s="33">
        <v>0.12</v>
      </c>
      <c r="F73" s="33">
        <f>SCE_Ds[[#This Row],[With Margins ($)]]-SCE_Ds[[#This Row],[ without Margins ( $)]]</f>
        <v>0.06</v>
      </c>
      <c r="G73" s="11" t="str">
        <f>IF(E72&lt;0.5,"Low", "High")</f>
        <v>High</v>
      </c>
      <c r="H73" s="9">
        <f>SCE_Ds[[#This Row],[Margins ($)]]/SCE_Ds[[#This Row],[With Margins ($)]]</f>
        <v>0.5</v>
      </c>
    </row>
    <row r="74" spans="1:8" x14ac:dyDescent="0.3">
      <c r="A74">
        <v>111331</v>
      </c>
      <c r="B74" t="s">
        <v>20</v>
      </c>
      <c r="C74" s="33">
        <v>0.42899999999999999</v>
      </c>
      <c r="D74" s="33">
        <v>5.8999999999999997E-2</v>
      </c>
      <c r="E74" s="33">
        <v>0.48799999999999999</v>
      </c>
      <c r="F74" s="33">
        <f>SCE_Ds[[#This Row],[With Margins ($)]]-SCE_Ds[[#This Row],[ without Margins ( $)]]</f>
        <v>5.8999999999999997E-2</v>
      </c>
      <c r="G74" s="11" t="str">
        <f>IF(E73&lt;0.5,"Low", "High")</f>
        <v>Low</v>
      </c>
      <c r="H74" s="9">
        <f>SCE_Ds[[#This Row],[Margins ($)]]/SCE_Ds[[#This Row],[With Margins ($)]]</f>
        <v>0.12090163934426229</v>
      </c>
    </row>
    <row r="75" spans="1:8" x14ac:dyDescent="0.3">
      <c r="A75">
        <v>811412</v>
      </c>
      <c r="B75" t="s">
        <v>1047</v>
      </c>
      <c r="C75" s="33">
        <v>0.113</v>
      </c>
      <c r="D75" s="33">
        <v>0</v>
      </c>
      <c r="E75" s="33">
        <v>0.113</v>
      </c>
      <c r="F75" s="33">
        <f>SCE_Ds[[#This Row],[With Margins ($)]]-SCE_Ds[[#This Row],[ without Margins ( $)]]</f>
        <v>0</v>
      </c>
      <c r="G75" s="11" t="str">
        <f>IF(E74&lt;0.5,"Low", "High")</f>
        <v>Low</v>
      </c>
      <c r="H75" s="9">
        <f>SCE_Ds[[#This Row],[Margins ($)]]/SCE_Ds[[#This Row],[With Margins ($)]]</f>
        <v>0</v>
      </c>
    </row>
    <row r="76" spans="1:8" x14ac:dyDescent="0.3">
      <c r="A76">
        <v>611513</v>
      </c>
      <c r="B76" t="s">
        <v>939</v>
      </c>
      <c r="C76" s="33">
        <v>0.108</v>
      </c>
      <c r="D76" s="33">
        <v>0</v>
      </c>
      <c r="E76" s="33">
        <v>0.108</v>
      </c>
      <c r="F76" s="33">
        <f>SCE_Ds[[#This Row],[With Margins ($)]]-SCE_Ds[[#This Row],[ without Margins ( $)]]</f>
        <v>0</v>
      </c>
      <c r="G76" s="11" t="str">
        <f>IF(E75&lt;0.5,"Low", "High")</f>
        <v>Low</v>
      </c>
      <c r="H76" s="9">
        <f>SCE_Ds[[#This Row],[Margins ($)]]/SCE_Ds[[#This Row],[With Margins ($)]]</f>
        <v>0</v>
      </c>
    </row>
    <row r="77" spans="1:8" x14ac:dyDescent="0.3">
      <c r="A77">
        <v>541310</v>
      </c>
      <c r="B77" t="s">
        <v>838</v>
      </c>
      <c r="C77" s="33">
        <v>0.10299999999999999</v>
      </c>
      <c r="D77" s="33">
        <v>0</v>
      </c>
      <c r="E77" s="33">
        <v>0.10299999999999999</v>
      </c>
      <c r="F77" s="33">
        <f>SCE_Ds[[#This Row],[With Margins ($)]]-SCE_Ds[[#This Row],[ without Margins ( $)]]</f>
        <v>0</v>
      </c>
      <c r="G77" s="11" t="str">
        <f>IF(E76&lt;0.5,"Low", "High")</f>
        <v>Low</v>
      </c>
      <c r="H77" s="9">
        <f>SCE_Ds[[#This Row],[Margins ($)]]/SCE_Ds[[#This Row],[With Margins ($)]]</f>
        <v>0</v>
      </c>
    </row>
    <row r="78" spans="1:8" x14ac:dyDescent="0.3">
      <c r="A78">
        <v>561613</v>
      </c>
      <c r="B78" t="s">
        <v>907</v>
      </c>
      <c r="C78" s="33">
        <v>7.3999999999999996E-2</v>
      </c>
      <c r="D78" s="33">
        <v>0</v>
      </c>
      <c r="E78" s="33">
        <v>7.3999999999999996E-2</v>
      </c>
      <c r="F78" s="33">
        <f>SCE_Ds[[#This Row],[With Margins ($)]]-SCE_Ds[[#This Row],[ without Margins ( $)]]</f>
        <v>0</v>
      </c>
      <c r="G78" s="11" t="str">
        <f>IF(E77&lt;0.5,"Low", "High")</f>
        <v>Low</v>
      </c>
      <c r="H78" s="9">
        <f>SCE_Ds[[#This Row],[Margins ($)]]/SCE_Ds[[#This Row],[With Margins ($)]]</f>
        <v>0</v>
      </c>
    </row>
    <row r="79" spans="1:8" x14ac:dyDescent="0.3">
      <c r="A79">
        <v>453920</v>
      </c>
      <c r="B79" t="s">
        <v>658</v>
      </c>
      <c r="C79" s="33">
        <v>0.111</v>
      </c>
      <c r="D79" s="33">
        <v>0</v>
      </c>
      <c r="E79" s="33">
        <v>0.111</v>
      </c>
      <c r="F79" s="33">
        <f>SCE_Ds[[#This Row],[With Margins ($)]]-SCE_Ds[[#This Row],[ without Margins ( $)]]</f>
        <v>0</v>
      </c>
      <c r="G79" s="11" t="str">
        <f>IF(E78&lt;0.5,"Low", "High")</f>
        <v>Low</v>
      </c>
      <c r="H79" s="9">
        <f>SCE_Ds[[#This Row],[Margins ($)]]/SCE_Ds[[#This Row],[With Margins ($)]]</f>
        <v>0</v>
      </c>
    </row>
    <row r="80" spans="1:8" x14ac:dyDescent="0.3">
      <c r="A80">
        <v>325220</v>
      </c>
      <c r="B80" t="s">
        <v>268</v>
      </c>
      <c r="C80" s="33">
        <v>0.88600000000000001</v>
      </c>
      <c r="D80" s="34">
        <v>1.6E-2</v>
      </c>
      <c r="E80" s="33">
        <v>0.90200000000000002</v>
      </c>
      <c r="F80" s="33">
        <f>SCE_Ds[[#This Row],[With Margins ($)]]-SCE_Ds[[#This Row],[ without Margins ( $)]]</f>
        <v>1.6000000000000014E-2</v>
      </c>
      <c r="G80" s="11" t="str">
        <f>IF(E79&lt;0.5,"Low", "High")</f>
        <v>Low</v>
      </c>
      <c r="H80" s="9">
        <f>SCE_Ds[[#This Row],[Margins ($)]]/SCE_Ds[[#This Row],[With Margins ($)]]</f>
        <v>1.7738359201773836E-2</v>
      </c>
    </row>
    <row r="81" spans="1:8" x14ac:dyDescent="0.3">
      <c r="A81">
        <v>324121</v>
      </c>
      <c r="B81" t="s">
        <v>254</v>
      </c>
      <c r="C81" s="33">
        <v>1.093</v>
      </c>
      <c r="D81" s="33">
        <v>2.8000000000000001E-2</v>
      </c>
      <c r="E81" s="33">
        <v>1.121</v>
      </c>
      <c r="F81" s="33">
        <f>SCE_Ds[[#This Row],[With Margins ($)]]-SCE_Ds[[#This Row],[ without Margins ( $)]]</f>
        <v>2.8000000000000025E-2</v>
      </c>
      <c r="G81" s="11" t="str">
        <f>IF(E80&lt;0.5,"Low", "High")</f>
        <v>High</v>
      </c>
      <c r="H81" s="9">
        <f>SCE_Ds[[#This Row],[Margins ($)]]/SCE_Ds[[#This Row],[With Margins ($)]]</f>
        <v>2.4977698483496878E-2</v>
      </c>
    </row>
    <row r="82" spans="1:8" x14ac:dyDescent="0.3">
      <c r="A82">
        <v>324122</v>
      </c>
      <c r="B82" t="s">
        <v>255</v>
      </c>
      <c r="C82" s="33">
        <v>0.57599999999999996</v>
      </c>
      <c r="D82" s="34">
        <v>3.2000000000000001E-2</v>
      </c>
      <c r="E82" s="33">
        <v>0.60799999999999998</v>
      </c>
      <c r="F82" s="33">
        <f>SCE_Ds[[#This Row],[With Margins ($)]]-SCE_Ds[[#This Row],[ without Margins ( $)]]</f>
        <v>3.2000000000000028E-2</v>
      </c>
      <c r="G82" s="11" t="str">
        <f>IF(E81&lt;0.5,"Low", "High")</f>
        <v>High</v>
      </c>
      <c r="H82" s="9">
        <f>SCE_Ds[[#This Row],[Margins ($)]]/SCE_Ds[[#This Row],[With Margins ($)]]</f>
        <v>5.2631578947368425E-2</v>
      </c>
    </row>
    <row r="83" spans="1:8" x14ac:dyDescent="0.3">
      <c r="A83">
        <v>623312</v>
      </c>
      <c r="B83" t="s">
        <v>978</v>
      </c>
      <c r="C83" s="33">
        <v>0.159</v>
      </c>
      <c r="D83" s="33">
        <v>0</v>
      </c>
      <c r="E83" s="33">
        <v>0.159</v>
      </c>
      <c r="F83" s="33">
        <f>SCE_Ds[[#This Row],[With Margins ($)]]-SCE_Ds[[#This Row],[ without Margins ( $)]]</f>
        <v>0</v>
      </c>
      <c r="G83" s="11" t="str">
        <f>IF(E82&lt;0.5,"Low", "High")</f>
        <v>High</v>
      </c>
      <c r="H83" s="9">
        <f>SCE_Ds[[#This Row],[Margins ($)]]/SCE_Ds[[#This Row],[With Margins ($)]]</f>
        <v>0</v>
      </c>
    </row>
    <row r="84" spans="1:8" x14ac:dyDescent="0.3">
      <c r="A84">
        <v>334310</v>
      </c>
      <c r="B84" t="s">
        <v>429</v>
      </c>
      <c r="C84" s="33">
        <v>4.2999999999999997E-2</v>
      </c>
      <c r="D84" s="33">
        <v>3.7999999999999999E-2</v>
      </c>
      <c r="E84" s="33">
        <v>8.1000000000000003E-2</v>
      </c>
      <c r="F84" s="33">
        <f>SCE_Ds[[#This Row],[With Margins ($)]]-SCE_Ds[[#This Row],[ without Margins ( $)]]</f>
        <v>3.8000000000000006E-2</v>
      </c>
      <c r="G84" s="11" t="str">
        <f>IF(E83&lt;0.5,"Low", "High")</f>
        <v>Low</v>
      </c>
      <c r="H84" s="9">
        <f>SCE_Ds[[#This Row],[Margins ($)]]/SCE_Ds[[#This Row],[With Margins ($)]]</f>
        <v>0.46913580246913578</v>
      </c>
    </row>
    <row r="85" spans="1:8" x14ac:dyDescent="0.3">
      <c r="A85">
        <v>334512</v>
      </c>
      <c r="B85" t="s">
        <v>439</v>
      </c>
      <c r="C85" s="33">
        <v>4.7E-2</v>
      </c>
      <c r="D85" s="33">
        <v>2.3E-2</v>
      </c>
      <c r="E85" s="33">
        <v>7.0000000000000007E-2</v>
      </c>
      <c r="F85" s="33">
        <f>SCE_Ds[[#This Row],[With Margins ($)]]-SCE_Ds[[#This Row],[ without Margins ( $)]]</f>
        <v>2.3000000000000007E-2</v>
      </c>
      <c r="G85" s="11" t="str">
        <f>IF(E84&lt;0.5,"Low", "High")</f>
        <v>Low</v>
      </c>
      <c r="H85" s="9">
        <f>SCE_Ds[[#This Row],[Margins ($)]]/SCE_Ds[[#This Row],[With Margins ($)]]</f>
        <v>0.32857142857142851</v>
      </c>
    </row>
    <row r="86" spans="1:8" x14ac:dyDescent="0.3">
      <c r="A86">
        <v>423110</v>
      </c>
      <c r="B86" t="s">
        <v>526</v>
      </c>
      <c r="C86" s="33">
        <v>0.115</v>
      </c>
      <c r="D86" s="33">
        <v>0</v>
      </c>
      <c r="E86" s="33">
        <v>0.115</v>
      </c>
      <c r="F86" s="33">
        <f>SCE_Ds[[#This Row],[With Margins ($)]]-SCE_Ds[[#This Row],[ without Margins ( $)]]</f>
        <v>0</v>
      </c>
      <c r="G86" s="11" t="str">
        <f>IF(E85&lt;0.5,"Low", "High")</f>
        <v>Low</v>
      </c>
      <c r="H86" s="9">
        <f>SCE_Ds[[#This Row],[Margins ($)]]/SCE_Ds[[#This Row],[With Margins ($)]]</f>
        <v>0</v>
      </c>
    </row>
    <row r="87" spans="1:8" x14ac:dyDescent="0.3">
      <c r="A87">
        <v>611692</v>
      </c>
      <c r="B87" t="s">
        <v>945</v>
      </c>
      <c r="C87" s="33">
        <v>0.108</v>
      </c>
      <c r="D87" s="33">
        <v>0</v>
      </c>
      <c r="E87" s="33">
        <v>0.108</v>
      </c>
      <c r="F87" s="33">
        <f>SCE_Ds[[#This Row],[With Margins ($)]]-SCE_Ds[[#This Row],[ without Margins ( $)]]</f>
        <v>0</v>
      </c>
      <c r="G87" s="11" t="str">
        <f>IF(E86&lt;0.5,"Low", "High")</f>
        <v>Low</v>
      </c>
      <c r="H87" s="9">
        <f>SCE_Ds[[#This Row],[Margins ($)]]/SCE_Ds[[#This Row],[With Margins ($)]]</f>
        <v>0</v>
      </c>
    </row>
    <row r="88" spans="1:8" x14ac:dyDescent="0.3">
      <c r="A88">
        <v>336111</v>
      </c>
      <c r="B88" t="s">
        <v>467</v>
      </c>
      <c r="C88" s="33">
        <v>0.19</v>
      </c>
      <c r="D88" s="33">
        <v>0.05</v>
      </c>
      <c r="E88" s="33">
        <v>0.24</v>
      </c>
      <c r="F88" s="33">
        <f>SCE_Ds[[#This Row],[With Margins ($)]]-SCE_Ds[[#This Row],[ without Margins ( $)]]</f>
        <v>4.9999999999999989E-2</v>
      </c>
      <c r="G88" s="11" t="str">
        <f>IF(E87&lt;0.5,"Low", "High")</f>
        <v>Low</v>
      </c>
      <c r="H88" s="9">
        <f>SCE_Ds[[#This Row],[Margins ($)]]/SCE_Ds[[#This Row],[With Margins ($)]]</f>
        <v>0.20833333333333334</v>
      </c>
    </row>
    <row r="89" spans="1:8" x14ac:dyDescent="0.3">
      <c r="A89">
        <v>811121</v>
      </c>
      <c r="B89" t="s">
        <v>1036</v>
      </c>
      <c r="C89" s="33">
        <v>0.10299999999999999</v>
      </c>
      <c r="D89" s="33">
        <v>0</v>
      </c>
      <c r="E89" s="33">
        <v>0.10299999999999999</v>
      </c>
      <c r="F89" s="33">
        <f>SCE_Ds[[#This Row],[With Margins ($)]]-SCE_Ds[[#This Row],[ without Margins ( $)]]</f>
        <v>0</v>
      </c>
      <c r="G89" s="11" t="str">
        <f>IF(E88&lt;0.5,"Low", "High")</f>
        <v>Low</v>
      </c>
      <c r="H89" s="9">
        <f>SCE_Ds[[#This Row],[Margins ($)]]/SCE_Ds[[#This Row],[With Margins ($)]]</f>
        <v>0</v>
      </c>
    </row>
    <row r="90" spans="1:8" x14ac:dyDescent="0.3">
      <c r="A90">
        <v>811112</v>
      </c>
      <c r="B90" t="s">
        <v>1033</v>
      </c>
      <c r="C90" s="33">
        <v>0.10299999999999999</v>
      </c>
      <c r="D90" s="33">
        <v>0</v>
      </c>
      <c r="E90" s="33">
        <v>0.10299999999999999</v>
      </c>
      <c r="F90" s="33">
        <f>SCE_Ds[[#This Row],[With Margins ($)]]-SCE_Ds[[#This Row],[ without Margins ( $)]]</f>
        <v>0</v>
      </c>
      <c r="G90" s="11" t="str">
        <f>IF(E89&lt;0.5,"Low", "High")</f>
        <v>Low</v>
      </c>
      <c r="H90" s="9">
        <f>SCE_Ds[[#This Row],[Margins ($)]]/SCE_Ds[[#This Row],[With Margins ($)]]</f>
        <v>0</v>
      </c>
    </row>
    <row r="91" spans="1:8" x14ac:dyDescent="0.3">
      <c r="A91">
        <v>811122</v>
      </c>
      <c r="B91" t="s">
        <v>1037</v>
      </c>
      <c r="C91" s="33">
        <v>0.10299999999999999</v>
      </c>
      <c r="D91" s="33">
        <v>0</v>
      </c>
      <c r="E91" s="33">
        <v>0.10299999999999999</v>
      </c>
      <c r="F91" s="33">
        <f>SCE_Ds[[#This Row],[With Margins ($)]]-SCE_Ds[[#This Row],[ without Margins ( $)]]</f>
        <v>0</v>
      </c>
      <c r="G91" s="11" t="str">
        <f>IF(E90&lt;0.5,"Low", "High")</f>
        <v>Low</v>
      </c>
      <c r="H91" s="9">
        <f>SCE_Ds[[#This Row],[Margins ($)]]/SCE_Ds[[#This Row],[With Margins ($)]]</f>
        <v>0</v>
      </c>
    </row>
    <row r="92" spans="1:8" x14ac:dyDescent="0.3">
      <c r="A92">
        <v>811191</v>
      </c>
      <c r="B92" t="s">
        <v>1038</v>
      </c>
      <c r="C92" s="33">
        <v>0.10299999999999999</v>
      </c>
      <c r="D92" s="33">
        <v>0</v>
      </c>
      <c r="E92" s="33">
        <v>0.10299999999999999</v>
      </c>
      <c r="F92" s="33">
        <f>SCE_Ds[[#This Row],[With Margins ($)]]-SCE_Ds[[#This Row],[ without Margins ( $)]]</f>
        <v>0</v>
      </c>
      <c r="G92" s="11" t="str">
        <f>IF(E91&lt;0.5,"Low", "High")</f>
        <v>Low</v>
      </c>
      <c r="H92" s="9">
        <f>SCE_Ds[[#This Row],[Margins ($)]]/SCE_Ds[[#This Row],[With Margins ($)]]</f>
        <v>0</v>
      </c>
    </row>
    <row r="93" spans="1:8" x14ac:dyDescent="0.3">
      <c r="A93">
        <v>441310</v>
      </c>
      <c r="B93" t="s">
        <v>604</v>
      </c>
      <c r="C93" s="33">
        <v>7.2999999999999995E-2</v>
      </c>
      <c r="D93" s="33">
        <v>0</v>
      </c>
      <c r="E93" s="33">
        <v>7.2999999999999995E-2</v>
      </c>
      <c r="F93" s="33">
        <f>SCE_Ds[[#This Row],[With Margins ($)]]-SCE_Ds[[#This Row],[ without Margins ( $)]]</f>
        <v>0</v>
      </c>
      <c r="G93" s="11" t="str">
        <f>IF(E92&lt;0.5,"Low", "High")</f>
        <v>Low</v>
      </c>
      <c r="H93" s="9">
        <f>SCE_Ds[[#This Row],[Margins ($)]]/SCE_Ds[[#This Row],[With Margins ($)]]</f>
        <v>0</v>
      </c>
    </row>
    <row r="94" spans="1:8" x14ac:dyDescent="0.3">
      <c r="A94">
        <v>811113</v>
      </c>
      <c r="B94" t="s">
        <v>1034</v>
      </c>
      <c r="C94" s="33">
        <v>0.10299999999999999</v>
      </c>
      <c r="D94" s="33">
        <v>0</v>
      </c>
      <c r="E94" s="33">
        <v>0.10299999999999999</v>
      </c>
      <c r="F94" s="33">
        <f>SCE_Ds[[#This Row],[With Margins ($)]]-SCE_Ds[[#This Row],[ without Margins ( $)]]</f>
        <v>0</v>
      </c>
      <c r="G94" s="11" t="str">
        <f>IF(E93&lt;0.5,"Low", "High")</f>
        <v>Low</v>
      </c>
      <c r="H94" s="9">
        <f>SCE_Ds[[#This Row],[Margins ($)]]/SCE_Ds[[#This Row],[With Margins ($)]]</f>
        <v>0</v>
      </c>
    </row>
    <row r="95" spans="1:8" x14ac:dyDescent="0.3">
      <c r="A95">
        <v>445291</v>
      </c>
      <c r="B95" t="s">
        <v>624</v>
      </c>
      <c r="C95" s="33">
        <v>0.186</v>
      </c>
      <c r="D95" s="33">
        <v>0</v>
      </c>
      <c r="E95" s="33">
        <v>0.186</v>
      </c>
      <c r="F95" s="33">
        <f>SCE_Ds[[#This Row],[With Margins ($)]]-SCE_Ds[[#This Row],[ without Margins ( $)]]</f>
        <v>0</v>
      </c>
      <c r="G95" s="11" t="str">
        <f>IF(E94&lt;0.5,"Low", "High")</f>
        <v>Low</v>
      </c>
      <c r="H95" s="9">
        <f>SCE_Ds[[#This Row],[Margins ($)]]/SCE_Ds[[#This Row],[With Margins ($)]]</f>
        <v>0</v>
      </c>
    </row>
    <row r="96" spans="1:8" x14ac:dyDescent="0.3">
      <c r="A96">
        <v>332991</v>
      </c>
      <c r="B96" t="s">
        <v>373</v>
      </c>
      <c r="C96" s="33">
        <v>0.17899999999999999</v>
      </c>
      <c r="D96" s="33">
        <v>2.4E-2</v>
      </c>
      <c r="E96" s="33">
        <v>0.20300000000000001</v>
      </c>
      <c r="F96" s="33">
        <f>SCE_Ds[[#This Row],[With Margins ($)]]-SCE_Ds[[#This Row],[ without Margins ( $)]]</f>
        <v>2.4000000000000021E-2</v>
      </c>
      <c r="G96" s="11" t="str">
        <f>IF(E95&lt;0.5,"Low", "High")</f>
        <v>Low</v>
      </c>
      <c r="H96" s="9">
        <f>SCE_Ds[[#This Row],[Margins ($)]]/SCE_Ds[[#This Row],[With Margins ($)]]</f>
        <v>0.11822660098522167</v>
      </c>
    </row>
    <row r="97" spans="1:8" x14ac:dyDescent="0.3">
      <c r="A97">
        <v>812111</v>
      </c>
      <c r="B97" t="s">
        <v>1051</v>
      </c>
      <c r="C97" s="33">
        <v>0.125</v>
      </c>
      <c r="D97" s="33">
        <v>0</v>
      </c>
      <c r="E97" s="33">
        <v>0.125</v>
      </c>
      <c r="F97" s="33">
        <f>SCE_Ds[[#This Row],[With Margins ($)]]-SCE_Ds[[#This Row],[ without Margins ( $)]]</f>
        <v>0</v>
      </c>
      <c r="G97" s="11" t="str">
        <f>IF(E96&lt;0.5,"Low", "High")</f>
        <v>Low</v>
      </c>
      <c r="H97" s="9">
        <f>SCE_Ds[[#This Row],[Margins ($)]]/SCE_Ds[[#This Row],[With Margins ($)]]</f>
        <v>0</v>
      </c>
    </row>
    <row r="98" spans="1:8" x14ac:dyDescent="0.3">
      <c r="A98">
        <v>334412</v>
      </c>
      <c r="B98" t="s">
        <v>430</v>
      </c>
      <c r="C98" s="33">
        <v>0.08</v>
      </c>
      <c r="D98" s="33">
        <v>1.9E-2</v>
      </c>
      <c r="E98" s="33">
        <v>9.8000000000000004E-2</v>
      </c>
      <c r="F98" s="33">
        <f>SCE_Ds[[#This Row],[With Margins ($)]]-SCE_Ds[[#This Row],[ without Margins ( $)]]</f>
        <v>1.8000000000000002E-2</v>
      </c>
      <c r="G98" s="11" t="str">
        <f>IF(E97&lt;0.5,"Low", "High")</f>
        <v>Low</v>
      </c>
      <c r="H98" s="9">
        <f>SCE_Ds[[#This Row],[Margins ($)]]/SCE_Ds[[#This Row],[With Margins ($)]]</f>
        <v>0.19387755102040816</v>
      </c>
    </row>
    <row r="99" spans="1:8" x14ac:dyDescent="0.3">
      <c r="A99">
        <v>812112</v>
      </c>
      <c r="B99" t="s">
        <v>1052</v>
      </c>
      <c r="C99" s="33">
        <v>0.125</v>
      </c>
      <c r="D99" s="33">
        <v>0</v>
      </c>
      <c r="E99" s="33">
        <v>0.125</v>
      </c>
      <c r="F99" s="33">
        <f>SCE_Ds[[#This Row],[With Margins ($)]]-SCE_Ds[[#This Row],[ without Margins ( $)]]</f>
        <v>0</v>
      </c>
      <c r="G99" s="11" t="str">
        <f>IF(E98&lt;0.5,"Low", "High")</f>
        <v>Low</v>
      </c>
      <c r="H99" s="9">
        <f>SCE_Ds[[#This Row],[Margins ($)]]/SCE_Ds[[#This Row],[With Margins ($)]]</f>
        <v>0</v>
      </c>
    </row>
    <row r="100" spans="1:8" x14ac:dyDescent="0.3">
      <c r="A100">
        <v>721191</v>
      </c>
      <c r="B100" t="s">
        <v>1018</v>
      </c>
      <c r="C100" s="33">
        <v>0.14499999999999999</v>
      </c>
      <c r="D100" s="33">
        <v>0</v>
      </c>
      <c r="E100" s="33">
        <v>0.14499999999999999</v>
      </c>
      <c r="F100" s="33">
        <f>SCE_Ds[[#This Row],[With Margins ($)]]-SCE_Ds[[#This Row],[ without Margins ( $)]]</f>
        <v>0</v>
      </c>
      <c r="G100" s="11" t="str">
        <f>IF(E99&lt;0.5,"Low", "High")</f>
        <v>Low</v>
      </c>
      <c r="H100" s="9">
        <f>SCE_Ds[[#This Row],[Margins ($)]]/SCE_Ds[[#This Row],[With Margins ($)]]</f>
        <v>0</v>
      </c>
    </row>
    <row r="101" spans="1:8" x14ac:dyDescent="0.3">
      <c r="A101">
        <v>112111</v>
      </c>
      <c r="B101" t="s">
        <v>38</v>
      </c>
      <c r="C101" s="33">
        <v>2.847</v>
      </c>
      <c r="D101" s="34">
        <v>4.4999999999999998E-2</v>
      </c>
      <c r="E101" s="33">
        <v>2.8929999999999998</v>
      </c>
      <c r="F101" s="33">
        <f>SCE_Ds[[#This Row],[With Margins ($)]]-SCE_Ds[[#This Row],[ without Margins ( $)]]</f>
        <v>4.5999999999999819E-2</v>
      </c>
      <c r="G101" s="11" t="str">
        <f>IF(E100&lt;0.5,"Low", "High")</f>
        <v>Low</v>
      </c>
      <c r="H101" s="9">
        <f>SCE_Ds[[#This Row],[Margins ($)]]/SCE_Ds[[#This Row],[With Margins ($)]]</f>
        <v>1.5554787417905289E-2</v>
      </c>
    </row>
    <row r="102" spans="1:8" x14ac:dyDescent="0.3">
      <c r="A102">
        <v>424810</v>
      </c>
      <c r="B102" t="s">
        <v>589</v>
      </c>
      <c r="C102" s="33">
        <v>0.14399999999999999</v>
      </c>
      <c r="D102" s="33">
        <v>0</v>
      </c>
      <c r="E102" s="33">
        <v>0.14399999999999999</v>
      </c>
      <c r="F102" s="33">
        <f>SCE_Ds[[#This Row],[With Margins ($)]]-SCE_Ds[[#This Row],[ without Margins ( $)]]</f>
        <v>0</v>
      </c>
      <c r="G102" s="11" t="str">
        <f>IF(E101&lt;0.5,"Low", "High")</f>
        <v>High</v>
      </c>
      <c r="H102" s="9">
        <f>SCE_Ds[[#This Row],[Margins ($)]]/SCE_Ds[[#This Row],[With Margins ($)]]</f>
        <v>0</v>
      </c>
    </row>
    <row r="103" spans="1:8" x14ac:dyDescent="0.3">
      <c r="A103">
        <v>445310</v>
      </c>
      <c r="B103" t="s">
        <v>627</v>
      </c>
      <c r="C103" s="33">
        <v>0.186</v>
      </c>
      <c r="D103" s="33">
        <v>0</v>
      </c>
      <c r="E103" s="33">
        <v>0.186</v>
      </c>
      <c r="F103" s="33">
        <f>SCE_Ds[[#This Row],[With Margins ($)]]-SCE_Ds[[#This Row],[ without Margins ( $)]]</f>
        <v>0</v>
      </c>
      <c r="G103" s="11" t="str">
        <f>IF(E102&lt;0.5,"Low", "High")</f>
        <v>Low</v>
      </c>
      <c r="H103" s="9">
        <f>SCE_Ds[[#This Row],[Margins ($)]]/SCE_Ds[[#This Row],[With Margins ($)]]</f>
        <v>0</v>
      </c>
    </row>
    <row r="104" spans="1:8" x14ac:dyDescent="0.3">
      <c r="A104">
        <v>311313</v>
      </c>
      <c r="B104" t="s">
        <v>156</v>
      </c>
      <c r="C104" s="33">
        <v>0.442</v>
      </c>
      <c r="D104" s="33">
        <v>0.04</v>
      </c>
      <c r="E104" s="33">
        <v>0.48199999999999998</v>
      </c>
      <c r="F104" s="33">
        <f>SCE_Ds[[#This Row],[With Margins ($)]]-SCE_Ds[[#This Row],[ without Margins ( $)]]</f>
        <v>3.999999999999998E-2</v>
      </c>
      <c r="G104" s="11" t="str">
        <f>IF(E103&lt;0.5,"Low", "High")</f>
        <v>Low</v>
      </c>
      <c r="H104" s="9">
        <f>SCE_Ds[[#This Row],[Margins ($)]]/SCE_Ds[[#This Row],[With Margins ($)]]</f>
        <v>8.2987551867219927E-2</v>
      </c>
    </row>
    <row r="105" spans="1:8" x14ac:dyDescent="0.3">
      <c r="A105">
        <v>111334</v>
      </c>
      <c r="B105" t="s">
        <v>23</v>
      </c>
      <c r="C105" s="33">
        <v>0.42899999999999999</v>
      </c>
      <c r="D105" s="33">
        <v>5.8999999999999997E-2</v>
      </c>
      <c r="E105" s="33">
        <v>0.48799999999999999</v>
      </c>
      <c r="F105" s="33">
        <f>SCE_Ds[[#This Row],[With Margins ($)]]-SCE_Ds[[#This Row],[ without Margins ( $)]]</f>
        <v>5.8999999999999997E-2</v>
      </c>
      <c r="G105" s="11" t="str">
        <f>IF(E104&lt;0.5,"Low", "High")</f>
        <v>Low</v>
      </c>
      <c r="H105" s="9">
        <f>SCE_Ds[[#This Row],[Margins ($)]]/SCE_Ds[[#This Row],[With Margins ($)]]</f>
        <v>0.12090163934426229</v>
      </c>
    </row>
    <row r="106" spans="1:8" x14ac:dyDescent="0.3">
      <c r="A106">
        <v>325414</v>
      </c>
      <c r="B106" t="s">
        <v>276</v>
      </c>
      <c r="C106" s="33">
        <v>0.126</v>
      </c>
      <c r="D106" s="33">
        <v>2.5000000000000001E-2</v>
      </c>
      <c r="E106" s="33">
        <v>0.15</v>
      </c>
      <c r="F106" s="33">
        <f>SCE_Ds[[#This Row],[With Margins ($)]]-SCE_Ds[[#This Row],[ without Margins ( $)]]</f>
        <v>2.3999999999999994E-2</v>
      </c>
      <c r="G106" s="11" t="str">
        <f>IF(E105&lt;0.5,"Low", "High")</f>
        <v>Low</v>
      </c>
      <c r="H106" s="9">
        <f>SCE_Ds[[#This Row],[Margins ($)]]/SCE_Ds[[#This Row],[With Margins ($)]]</f>
        <v>0.16666666666666669</v>
      </c>
    </row>
    <row r="107" spans="1:8" x14ac:dyDescent="0.3">
      <c r="A107">
        <v>212111</v>
      </c>
      <c r="B107" t="s">
        <v>76</v>
      </c>
      <c r="C107" s="33">
        <v>0.747</v>
      </c>
      <c r="D107" s="33">
        <v>9.4E-2</v>
      </c>
      <c r="E107" s="33">
        <v>0.84099999999999997</v>
      </c>
      <c r="F107" s="33">
        <f>SCE_Ds[[#This Row],[With Margins ($)]]-SCE_Ds[[#This Row],[ without Margins ( $)]]</f>
        <v>9.3999999999999972E-2</v>
      </c>
      <c r="G107" s="11" t="str">
        <f>IF(E106&lt;0.5,"Low", "High")</f>
        <v>Low</v>
      </c>
      <c r="H107" s="9">
        <f>SCE_Ds[[#This Row],[Margins ($)]]/SCE_Ds[[#This Row],[With Margins ($)]]</f>
        <v>0.1117717003567182</v>
      </c>
    </row>
    <row r="108" spans="1:8" x14ac:dyDescent="0.3">
      <c r="A108">
        <v>212112</v>
      </c>
      <c r="B108" t="s">
        <v>77</v>
      </c>
      <c r="C108" s="33">
        <v>0.747</v>
      </c>
      <c r="D108" s="34">
        <v>9.4E-2</v>
      </c>
      <c r="E108" s="33">
        <v>0.84099999999999997</v>
      </c>
      <c r="F108" s="33">
        <f>SCE_Ds[[#This Row],[With Margins ($)]]-SCE_Ds[[#This Row],[ without Margins ( $)]]</f>
        <v>9.3999999999999972E-2</v>
      </c>
      <c r="G108" s="11" t="str">
        <f>IF(E107&lt;0.5,"Low", "High")</f>
        <v>High</v>
      </c>
      <c r="H108" s="9">
        <f>SCE_Ds[[#This Row],[Margins ($)]]/SCE_Ds[[#This Row],[With Margins ($)]]</f>
        <v>0.1117717003567182</v>
      </c>
    </row>
    <row r="109" spans="1:8" x14ac:dyDescent="0.3">
      <c r="A109">
        <v>334613</v>
      </c>
      <c r="B109" t="s">
        <v>447</v>
      </c>
      <c r="C109" s="33">
        <v>4.2999999999999997E-2</v>
      </c>
      <c r="D109" s="33">
        <v>2.1000000000000001E-2</v>
      </c>
      <c r="E109" s="33">
        <v>6.3E-2</v>
      </c>
      <c r="F109" s="33">
        <f>SCE_Ds[[#This Row],[With Margins ($)]]-SCE_Ds[[#This Row],[ without Margins ( $)]]</f>
        <v>2.0000000000000004E-2</v>
      </c>
      <c r="G109" s="11" t="str">
        <f>IF(E108&lt;0.5,"Low", "High")</f>
        <v>High</v>
      </c>
      <c r="H109" s="9">
        <f>SCE_Ds[[#This Row],[Margins ($)]]/SCE_Ds[[#This Row],[With Margins ($)]]</f>
        <v>0.33333333333333337</v>
      </c>
    </row>
    <row r="110" spans="1:8" x14ac:dyDescent="0.3">
      <c r="A110">
        <v>337920</v>
      </c>
      <c r="B110" t="s">
        <v>509</v>
      </c>
      <c r="C110" s="33">
        <v>0.11</v>
      </c>
      <c r="D110" s="33">
        <v>6.3E-2</v>
      </c>
      <c r="E110" s="33">
        <v>0.17299999999999999</v>
      </c>
      <c r="F110" s="33">
        <f>SCE_Ds[[#This Row],[With Margins ($)]]-SCE_Ds[[#This Row],[ without Margins ( $)]]</f>
        <v>6.2999999999999987E-2</v>
      </c>
      <c r="G110" s="11" t="str">
        <f>IF(E109&lt;0.5,"Low", "High")</f>
        <v>Low</v>
      </c>
      <c r="H110" s="9">
        <f>SCE_Ds[[#This Row],[Margins ($)]]/SCE_Ds[[#This Row],[With Margins ($)]]</f>
        <v>0.3641618497109827</v>
      </c>
    </row>
    <row r="111" spans="1:8" x14ac:dyDescent="0.3">
      <c r="A111">
        <v>621991</v>
      </c>
      <c r="B111" t="s">
        <v>967</v>
      </c>
      <c r="C111" s="33">
        <v>0.18</v>
      </c>
      <c r="D111" s="33">
        <v>0</v>
      </c>
      <c r="E111" s="33">
        <v>0.18</v>
      </c>
      <c r="F111" s="33">
        <f>SCE_Ds[[#This Row],[With Margins ($)]]-SCE_Ds[[#This Row],[ without Margins ( $)]]</f>
        <v>0</v>
      </c>
      <c r="G111" s="11" t="str">
        <f>IF(E110&lt;0.5,"Low", "High")</f>
        <v>Low</v>
      </c>
      <c r="H111" s="9">
        <f>SCE_Ds[[#This Row],[Margins ($)]]/SCE_Ds[[#This Row],[With Margins ($)]]</f>
        <v>0</v>
      </c>
    </row>
    <row r="112" spans="1:8" x14ac:dyDescent="0.3">
      <c r="A112">
        <v>336612</v>
      </c>
      <c r="B112" t="s">
        <v>492</v>
      </c>
      <c r="C112" s="33">
        <v>0.15</v>
      </c>
      <c r="D112" s="33">
        <v>3.2000000000000001E-2</v>
      </c>
      <c r="E112" s="33">
        <v>0.182</v>
      </c>
      <c r="F112" s="33">
        <f>SCE_Ds[[#This Row],[With Margins ($)]]-SCE_Ds[[#This Row],[ without Margins ( $)]]</f>
        <v>3.2000000000000001E-2</v>
      </c>
      <c r="G112" s="11" t="str">
        <f>IF(E111&lt;0.5,"Low", "High")</f>
        <v>Low</v>
      </c>
      <c r="H112" s="9">
        <f>SCE_Ds[[#This Row],[Margins ($)]]/SCE_Ds[[#This Row],[With Margins ($)]]</f>
        <v>0.17582417582417584</v>
      </c>
    </row>
    <row r="113" spans="1:8" x14ac:dyDescent="0.3">
      <c r="A113">
        <v>441222</v>
      </c>
      <c r="B113" t="s">
        <v>602</v>
      </c>
      <c r="C113" s="33">
        <v>7.2999999999999995E-2</v>
      </c>
      <c r="D113" s="33">
        <v>0</v>
      </c>
      <c r="E113" s="33">
        <v>7.2999999999999995E-2</v>
      </c>
      <c r="F113" s="33">
        <f>SCE_Ds[[#This Row],[With Margins ($)]]-SCE_Ds[[#This Row],[ without Margins ( $)]]</f>
        <v>0</v>
      </c>
      <c r="G113" s="11" t="str">
        <f>IF(E112&lt;0.5,"Low", "High")</f>
        <v>Low</v>
      </c>
      <c r="H113" s="9">
        <f>SCE_Ds[[#This Row],[Margins ($)]]/SCE_Ds[[#This Row],[With Margins ($)]]</f>
        <v>0</v>
      </c>
    </row>
    <row r="114" spans="1:8" x14ac:dyDescent="0.3">
      <c r="A114">
        <v>332722</v>
      </c>
      <c r="B114" t="s">
        <v>364</v>
      </c>
      <c r="C114" s="33">
        <v>0.222</v>
      </c>
      <c r="D114" s="33">
        <v>2.5999999999999999E-2</v>
      </c>
      <c r="E114" s="33">
        <v>0.248</v>
      </c>
      <c r="F114" s="33">
        <f>SCE_Ds[[#This Row],[With Margins ($)]]-SCE_Ds[[#This Row],[ without Margins ( $)]]</f>
        <v>2.5999999999999995E-2</v>
      </c>
      <c r="G114" s="11" t="str">
        <f>IF(E113&lt;0.5,"Low", "High")</f>
        <v>Low</v>
      </c>
      <c r="H114" s="9">
        <f>SCE_Ds[[#This Row],[Margins ($)]]/SCE_Ds[[#This Row],[With Margins ($)]]</f>
        <v>0.10483870967741934</v>
      </c>
    </row>
    <row r="115" spans="1:8" x14ac:dyDescent="0.3">
      <c r="A115">
        <v>511130</v>
      </c>
      <c r="B115" t="s">
        <v>726</v>
      </c>
      <c r="C115" s="33">
        <v>7.1999999999999995E-2</v>
      </c>
      <c r="D115" s="33">
        <v>3.5000000000000003E-2</v>
      </c>
      <c r="E115" s="33">
        <v>0.107</v>
      </c>
      <c r="F115" s="33">
        <f>SCE_Ds[[#This Row],[With Margins ($)]]-SCE_Ds[[#This Row],[ without Margins ( $)]]</f>
        <v>3.5000000000000003E-2</v>
      </c>
      <c r="G115" s="11" t="str">
        <f>IF(E114&lt;0.5,"Low", "High")</f>
        <v>Low</v>
      </c>
      <c r="H115" s="9">
        <f>SCE_Ds[[#This Row],[Margins ($)]]/SCE_Ds[[#This Row],[With Margins ($)]]</f>
        <v>0.32710280373831779</v>
      </c>
    </row>
    <row r="116" spans="1:8" x14ac:dyDescent="0.3">
      <c r="A116">
        <v>451211</v>
      </c>
      <c r="B116" t="s">
        <v>648</v>
      </c>
      <c r="C116" s="33">
        <v>0.111</v>
      </c>
      <c r="D116" s="33">
        <v>0</v>
      </c>
      <c r="E116" s="33">
        <v>0.111</v>
      </c>
      <c r="F116" s="33">
        <f>SCE_Ds[[#This Row],[With Margins ($)]]-SCE_Ds[[#This Row],[ without Margins ( $)]]</f>
        <v>0</v>
      </c>
      <c r="G116" s="11" t="str">
        <f>IF(E115&lt;0.5,"Low", "High")</f>
        <v>Low</v>
      </c>
      <c r="H116" s="9">
        <f>SCE_Ds[[#This Row],[Margins ($)]]/SCE_Ds[[#This Row],[With Margins ($)]]</f>
        <v>0</v>
      </c>
    </row>
    <row r="117" spans="1:8" x14ac:dyDescent="0.3">
      <c r="A117">
        <v>424920</v>
      </c>
      <c r="B117" t="s">
        <v>592</v>
      </c>
      <c r="C117" s="33">
        <v>0.14399999999999999</v>
      </c>
      <c r="D117" s="33">
        <v>0</v>
      </c>
      <c r="E117" s="33">
        <v>0.14399999999999999</v>
      </c>
      <c r="F117" s="33">
        <f>SCE_Ds[[#This Row],[With Margins ($)]]-SCE_Ds[[#This Row],[ without Margins ( $)]]</f>
        <v>0</v>
      </c>
      <c r="G117" s="11" t="str">
        <f>IF(E116&lt;0.5,"Low", "High")</f>
        <v>Low</v>
      </c>
      <c r="H117" s="9">
        <f>SCE_Ds[[#This Row],[Margins ($)]]/SCE_Ds[[#This Row],[With Margins ($)]]</f>
        <v>0</v>
      </c>
    </row>
    <row r="118" spans="1:8" x14ac:dyDescent="0.3">
      <c r="A118">
        <v>323117</v>
      </c>
      <c r="B118" t="s">
        <v>251</v>
      </c>
      <c r="C118" s="33">
        <v>0.20200000000000001</v>
      </c>
      <c r="D118" s="33">
        <v>3.4000000000000002E-2</v>
      </c>
      <c r="E118" s="33">
        <v>0.23599999999999999</v>
      </c>
      <c r="F118" s="33">
        <f>SCE_Ds[[#This Row],[With Margins ($)]]-SCE_Ds[[#This Row],[ without Margins ( $)]]</f>
        <v>3.3999999999999975E-2</v>
      </c>
      <c r="G118" s="11" t="str">
        <f>IF(E117&lt;0.5,"Low", "High")</f>
        <v>Low</v>
      </c>
      <c r="H118" s="9">
        <f>SCE_Ds[[#This Row],[Margins ($)]]/SCE_Ds[[#This Row],[With Margins ($)]]</f>
        <v>0.1440677966101695</v>
      </c>
    </row>
    <row r="119" spans="1:8" x14ac:dyDescent="0.3">
      <c r="A119">
        <v>312112</v>
      </c>
      <c r="B119" t="s">
        <v>194</v>
      </c>
      <c r="C119" s="33">
        <v>0.17299999999999999</v>
      </c>
      <c r="D119" s="33">
        <v>4.2000000000000003E-2</v>
      </c>
      <c r="E119" s="33">
        <v>0.214</v>
      </c>
      <c r="F119" s="33">
        <f>SCE_Ds[[#This Row],[With Margins ($)]]-SCE_Ds[[#This Row],[ without Margins ( $)]]</f>
        <v>4.1000000000000009E-2</v>
      </c>
      <c r="G119" s="11" t="str">
        <f>IF(E118&lt;0.5,"Low", "High")</f>
        <v>Low</v>
      </c>
      <c r="H119" s="9">
        <f>SCE_Ds[[#This Row],[Margins ($)]]/SCE_Ds[[#This Row],[With Margins ($)]]</f>
        <v>0.19626168224299068</v>
      </c>
    </row>
    <row r="120" spans="1:8" x14ac:dyDescent="0.3">
      <c r="A120">
        <v>713950</v>
      </c>
      <c r="B120" t="s">
        <v>1014</v>
      </c>
      <c r="C120" s="33">
        <v>0.23499999999999999</v>
      </c>
      <c r="D120" s="33">
        <v>0</v>
      </c>
      <c r="E120" s="33">
        <v>0.23499999999999999</v>
      </c>
      <c r="F120" s="33">
        <f>SCE_Ds[[#This Row],[With Margins ($)]]-SCE_Ds[[#This Row],[ without Margins ( $)]]</f>
        <v>0</v>
      </c>
      <c r="G120" s="11" t="str">
        <f>IF(E119&lt;0.5,"Low", "High")</f>
        <v>Low</v>
      </c>
      <c r="H120" s="9">
        <f>SCE_Ds[[#This Row],[Margins ($)]]/SCE_Ds[[#This Row],[With Margins ($)]]</f>
        <v>0</v>
      </c>
    </row>
    <row r="121" spans="1:8" x14ac:dyDescent="0.3">
      <c r="A121">
        <v>311230</v>
      </c>
      <c r="B121" t="s">
        <v>155</v>
      </c>
      <c r="C121" s="33">
        <v>0.42299999999999999</v>
      </c>
      <c r="D121" s="33">
        <v>0.05</v>
      </c>
      <c r="E121" s="33">
        <v>0.47299999999999998</v>
      </c>
      <c r="F121" s="33">
        <f>SCE_Ds[[#This Row],[With Margins ($)]]-SCE_Ds[[#This Row],[ without Margins ( $)]]</f>
        <v>4.9999999999999989E-2</v>
      </c>
      <c r="G121" s="11" t="str">
        <f>IF(E120&lt;0.5,"Low", "High")</f>
        <v>Low</v>
      </c>
      <c r="H121" s="9">
        <f>SCE_Ds[[#This Row],[Margins ($)]]/SCE_Ds[[#This Row],[With Margins ($)]]</f>
        <v>0.10570824524312898</v>
      </c>
    </row>
    <row r="122" spans="1:8" x14ac:dyDescent="0.3">
      <c r="A122">
        <v>312120</v>
      </c>
      <c r="B122" t="s">
        <v>196</v>
      </c>
      <c r="C122" s="33">
        <v>0.20899999999999999</v>
      </c>
      <c r="D122" s="33">
        <v>6.6000000000000003E-2</v>
      </c>
      <c r="E122" s="33">
        <v>0.27400000000000002</v>
      </c>
      <c r="F122" s="33">
        <f>SCE_Ds[[#This Row],[With Margins ($)]]-SCE_Ds[[#This Row],[ without Margins ( $)]]</f>
        <v>6.500000000000003E-2</v>
      </c>
      <c r="G122" s="11" t="str">
        <f>IF(E121&lt;0.5,"Low", "High")</f>
        <v>Low</v>
      </c>
      <c r="H122" s="9">
        <f>SCE_Ds[[#This Row],[Margins ($)]]/SCE_Ds[[#This Row],[With Margins ($)]]</f>
        <v>0.24087591240875911</v>
      </c>
    </row>
    <row r="123" spans="1:8" x14ac:dyDescent="0.3">
      <c r="A123">
        <v>423320</v>
      </c>
      <c r="B123" t="s">
        <v>534</v>
      </c>
      <c r="C123" s="33">
        <v>0.108</v>
      </c>
      <c r="D123" s="33">
        <v>0</v>
      </c>
      <c r="E123" s="33">
        <v>0.108</v>
      </c>
      <c r="F123" s="33">
        <f>SCE_Ds[[#This Row],[With Margins ($)]]-SCE_Ds[[#This Row],[ without Margins ( $)]]</f>
        <v>0</v>
      </c>
      <c r="G123" s="11" t="str">
        <f>IF(E122&lt;0.5,"Low", "High")</f>
        <v>Low</v>
      </c>
      <c r="H123" s="9">
        <f>SCE_Ds[[#This Row],[Margins ($)]]/SCE_Ds[[#This Row],[With Margins ($)]]</f>
        <v>0</v>
      </c>
    </row>
    <row r="124" spans="1:8" x14ac:dyDescent="0.3">
      <c r="A124">
        <v>313210</v>
      </c>
      <c r="B124" t="s">
        <v>201</v>
      </c>
      <c r="C124" s="33">
        <v>0.48</v>
      </c>
      <c r="D124" s="34">
        <v>2.7E-2</v>
      </c>
      <c r="E124" s="33">
        <v>0.50700000000000001</v>
      </c>
      <c r="F124" s="33">
        <f>SCE_Ds[[#This Row],[With Margins ($)]]-SCE_Ds[[#This Row],[ without Margins ( $)]]</f>
        <v>2.7000000000000024E-2</v>
      </c>
      <c r="G124" s="11" t="str">
        <f>IF(E123&lt;0.5,"Low", "High")</f>
        <v>Low</v>
      </c>
      <c r="H124" s="9">
        <f>SCE_Ds[[#This Row],[Margins ($)]]/SCE_Ds[[#This Row],[With Margins ($)]]</f>
        <v>5.3254437869822487E-2</v>
      </c>
    </row>
    <row r="125" spans="1:8" x14ac:dyDescent="0.3">
      <c r="A125">
        <v>112320</v>
      </c>
      <c r="B125" t="s">
        <v>46</v>
      </c>
      <c r="C125" s="33">
        <v>0.40699999999999997</v>
      </c>
      <c r="D125" s="33">
        <v>3.1E-2</v>
      </c>
      <c r="E125" s="33">
        <v>0.438</v>
      </c>
      <c r="F125" s="33">
        <f>SCE_Ds[[#This Row],[With Margins ($)]]-SCE_Ds[[#This Row],[ without Margins ( $)]]</f>
        <v>3.1000000000000028E-2</v>
      </c>
      <c r="G125" s="11" t="str">
        <f>IF(E124&lt;0.5,"Low", "High")</f>
        <v>High</v>
      </c>
      <c r="H125" s="9">
        <f>SCE_Ds[[#This Row],[Margins ($)]]/SCE_Ds[[#This Row],[With Margins ($)]]</f>
        <v>7.0776255707762553E-2</v>
      </c>
    </row>
    <row r="126" spans="1:8" x14ac:dyDescent="0.3">
      <c r="A126">
        <v>339994</v>
      </c>
      <c r="B126" t="s">
        <v>523</v>
      </c>
      <c r="C126" s="33">
        <v>0.121</v>
      </c>
      <c r="D126" s="33">
        <v>6.0999999999999999E-2</v>
      </c>
      <c r="E126" s="33">
        <v>0.182</v>
      </c>
      <c r="F126" s="33">
        <f>SCE_Ds[[#This Row],[With Margins ($)]]-SCE_Ds[[#This Row],[ without Margins ( $)]]</f>
        <v>6.0999999999999999E-2</v>
      </c>
      <c r="G126" s="11" t="str">
        <f>IF(E125&lt;0.5,"Low", "High")</f>
        <v>Low</v>
      </c>
      <c r="H126" s="9">
        <f>SCE_Ds[[#This Row],[Margins ($)]]/SCE_Ds[[#This Row],[With Margins ($)]]</f>
        <v>0.33516483516483514</v>
      </c>
    </row>
    <row r="127" spans="1:8" x14ac:dyDescent="0.3">
      <c r="A127">
        <v>541350</v>
      </c>
      <c r="B127" t="s">
        <v>842</v>
      </c>
      <c r="C127" s="33">
        <v>0.10299999999999999</v>
      </c>
      <c r="D127" s="33">
        <v>0</v>
      </c>
      <c r="E127" s="33">
        <v>0.10299999999999999</v>
      </c>
      <c r="F127" s="33">
        <f>SCE_Ds[[#This Row],[With Margins ($)]]-SCE_Ds[[#This Row],[ without Margins ( $)]]</f>
        <v>0</v>
      </c>
      <c r="G127" s="11" t="str">
        <f>IF(E126&lt;0.5,"Low", "High")</f>
        <v>Low</v>
      </c>
      <c r="H127" s="9">
        <f>SCE_Ds[[#This Row],[Margins ($)]]/SCE_Ds[[#This Row],[With Margins ($)]]</f>
        <v>0</v>
      </c>
    </row>
    <row r="128" spans="1:8" x14ac:dyDescent="0.3">
      <c r="A128">
        <v>339995</v>
      </c>
      <c r="B128" t="s">
        <v>524</v>
      </c>
      <c r="C128" s="33">
        <v>0.121</v>
      </c>
      <c r="D128" s="33">
        <v>6.0999999999999999E-2</v>
      </c>
      <c r="E128" s="33">
        <v>0.182</v>
      </c>
      <c r="F128" s="33">
        <f>SCE_Ds[[#This Row],[With Margins ($)]]-SCE_Ds[[#This Row],[ without Margins ( $)]]</f>
        <v>6.0999999999999999E-2</v>
      </c>
      <c r="G128" s="11" t="str">
        <f>IF(E127&lt;0.5,"Low", "High")</f>
        <v>Low</v>
      </c>
      <c r="H128" s="9">
        <f>SCE_Ds[[#This Row],[Margins ($)]]/SCE_Ds[[#This Row],[With Margins ($)]]</f>
        <v>0.33516483516483514</v>
      </c>
    </row>
    <row r="129" spans="1:8" x14ac:dyDescent="0.3">
      <c r="A129">
        <v>485113</v>
      </c>
      <c r="B129" t="s">
        <v>687</v>
      </c>
      <c r="C129" s="33">
        <v>0.56599999999999995</v>
      </c>
      <c r="D129" s="34">
        <v>0</v>
      </c>
      <c r="E129" s="33">
        <v>0.56599999999999995</v>
      </c>
      <c r="F129" s="33">
        <f>SCE_Ds[[#This Row],[With Margins ($)]]-SCE_Ds[[#This Row],[ without Margins ( $)]]</f>
        <v>0</v>
      </c>
      <c r="G129" s="11" t="str">
        <f>IF(E128&lt;0.5,"Low", "High")</f>
        <v>Low</v>
      </c>
      <c r="H129" s="9">
        <f>SCE_Ds[[#This Row],[Margins ($)]]/SCE_Ds[[#This Row],[With Margins ($)]]</f>
        <v>0</v>
      </c>
    </row>
    <row r="130" spans="1:8" x14ac:dyDescent="0.3">
      <c r="A130">
        <v>611410</v>
      </c>
      <c r="B130" t="s">
        <v>933</v>
      </c>
      <c r="C130" s="33">
        <v>0.108</v>
      </c>
      <c r="D130" s="33">
        <v>0</v>
      </c>
      <c r="E130" s="33">
        <v>0.108</v>
      </c>
      <c r="F130" s="33">
        <f>SCE_Ds[[#This Row],[With Margins ($)]]-SCE_Ds[[#This Row],[ without Margins ( $)]]</f>
        <v>0</v>
      </c>
      <c r="G130" s="11" t="str">
        <f>IF(E129&lt;0.5,"Low", "High")</f>
        <v>High</v>
      </c>
      <c r="H130" s="9">
        <f>SCE_Ds[[#This Row],[Margins ($)]]/SCE_Ds[[#This Row],[With Margins ($)]]</f>
        <v>0</v>
      </c>
    </row>
    <row r="131" spans="1:8" x14ac:dyDescent="0.3">
      <c r="A131">
        <v>813910</v>
      </c>
      <c r="B131" t="s">
        <v>1077</v>
      </c>
      <c r="C131" s="33">
        <v>0.128</v>
      </c>
      <c r="D131" s="33">
        <v>0</v>
      </c>
      <c r="E131" s="33">
        <v>0.128</v>
      </c>
      <c r="F131" s="33">
        <f>SCE_Ds[[#This Row],[With Margins ($)]]-SCE_Ds[[#This Row],[ without Margins ( $)]]</f>
        <v>0</v>
      </c>
      <c r="G131" s="11" t="str">
        <f>IF(E130&lt;0.5,"Low", "High")</f>
        <v>Low</v>
      </c>
      <c r="H131" s="9">
        <f>SCE_Ds[[#This Row],[Margins ($)]]/SCE_Ds[[#This Row],[With Margins ($)]]</f>
        <v>0</v>
      </c>
    </row>
    <row r="132" spans="1:8" x14ac:dyDescent="0.3">
      <c r="A132">
        <v>425110</v>
      </c>
      <c r="B132" t="s">
        <v>597</v>
      </c>
      <c r="C132" s="33">
        <v>9.1999999999999998E-2</v>
      </c>
      <c r="D132" s="33">
        <v>0</v>
      </c>
      <c r="E132" s="33">
        <v>9.1999999999999998E-2</v>
      </c>
      <c r="F132" s="33">
        <f>SCE_Ds[[#This Row],[With Margins ($)]]-SCE_Ds[[#This Row],[ without Margins ( $)]]</f>
        <v>0</v>
      </c>
      <c r="G132" s="11" t="str">
        <f>IF(E131&lt;0.5,"Low", "High")</f>
        <v>Low</v>
      </c>
      <c r="H132" s="9">
        <f>SCE_Ds[[#This Row],[Margins ($)]]/SCE_Ds[[#This Row],[With Margins ($)]]</f>
        <v>0</v>
      </c>
    </row>
    <row r="133" spans="1:8" x14ac:dyDescent="0.3">
      <c r="A133">
        <v>515210</v>
      </c>
      <c r="B133" t="s">
        <v>745</v>
      </c>
      <c r="C133" s="33">
        <v>9.4E-2</v>
      </c>
      <c r="D133" s="33">
        <v>0</v>
      </c>
      <c r="E133" s="33">
        <v>9.4E-2</v>
      </c>
      <c r="F133" s="33">
        <f>SCE_Ds[[#This Row],[With Margins ($)]]-SCE_Ds[[#This Row],[ without Margins ( $)]]</f>
        <v>0</v>
      </c>
      <c r="G133" s="11" t="str">
        <f>IF(E132&lt;0.5,"Low", "High")</f>
        <v>Low</v>
      </c>
      <c r="H133" s="9">
        <f>SCE_Ds[[#This Row],[Margins ($)]]/SCE_Ds[[#This Row],[With Margins ($)]]</f>
        <v>0</v>
      </c>
    </row>
    <row r="134" spans="1:8" x14ac:dyDescent="0.3">
      <c r="A134">
        <v>722514</v>
      </c>
      <c r="B134" t="s">
        <v>1030</v>
      </c>
      <c r="C134" s="33">
        <v>0.13200000000000001</v>
      </c>
      <c r="D134" s="33">
        <v>0</v>
      </c>
      <c r="E134" s="33">
        <v>0.13200000000000001</v>
      </c>
      <c r="F134" s="33">
        <f>SCE_Ds[[#This Row],[With Margins ($)]]-SCE_Ds[[#This Row],[ without Margins ( $)]]</f>
        <v>0</v>
      </c>
      <c r="G134" s="11" t="str">
        <f>IF(E133&lt;0.5,"Low", "High")</f>
        <v>Low</v>
      </c>
      <c r="H134" s="9">
        <f>SCE_Ds[[#This Row],[Margins ($)]]/SCE_Ds[[#This Row],[With Margins ($)]]</f>
        <v>0</v>
      </c>
    </row>
    <row r="135" spans="1:8" x14ac:dyDescent="0.3">
      <c r="A135">
        <v>311314</v>
      </c>
      <c r="B135" t="s">
        <v>157</v>
      </c>
      <c r="C135" s="33">
        <v>0.442</v>
      </c>
      <c r="D135" s="33">
        <v>0.04</v>
      </c>
      <c r="E135" s="33">
        <v>0.48199999999999998</v>
      </c>
      <c r="F135" s="33">
        <f>SCE_Ds[[#This Row],[With Margins ($)]]-SCE_Ds[[#This Row],[ without Margins ( $)]]</f>
        <v>3.999999999999998E-2</v>
      </c>
      <c r="G135" s="11" t="str">
        <f>IF(E134&lt;0.5,"Low", "High")</f>
        <v>Low</v>
      </c>
      <c r="H135" s="9">
        <f>SCE_Ds[[#This Row],[Margins ($)]]/SCE_Ds[[#This Row],[With Margins ($)]]</f>
        <v>8.2987551867219927E-2</v>
      </c>
    </row>
    <row r="136" spans="1:8" x14ac:dyDescent="0.3">
      <c r="A136">
        <v>334416</v>
      </c>
      <c r="B136" t="s">
        <v>433</v>
      </c>
      <c r="C136" s="33">
        <v>0.08</v>
      </c>
      <c r="D136" s="33">
        <v>1.9E-2</v>
      </c>
      <c r="E136" s="33">
        <v>9.8000000000000004E-2</v>
      </c>
      <c r="F136" s="33">
        <f>SCE_Ds[[#This Row],[With Margins ($)]]-SCE_Ds[[#This Row],[ without Margins ( $)]]</f>
        <v>1.8000000000000002E-2</v>
      </c>
      <c r="G136" s="11" t="str">
        <f>IF(E135&lt;0.5,"Low", "High")</f>
        <v>Low</v>
      </c>
      <c r="H136" s="9">
        <f>SCE_Ds[[#This Row],[Margins ($)]]/SCE_Ds[[#This Row],[With Margins ($)]]</f>
        <v>0.19387755102040816</v>
      </c>
    </row>
    <row r="137" spans="1:8" x14ac:dyDescent="0.3">
      <c r="A137">
        <v>811192</v>
      </c>
      <c r="B137" t="s">
        <v>1039</v>
      </c>
      <c r="C137" s="33">
        <v>0.10299999999999999</v>
      </c>
      <c r="D137" s="33">
        <v>0</v>
      </c>
      <c r="E137" s="33">
        <v>0.10299999999999999</v>
      </c>
      <c r="F137" s="33">
        <f>SCE_Ds[[#This Row],[With Margins ($)]]-SCE_Ds[[#This Row],[ without Margins ( $)]]</f>
        <v>0</v>
      </c>
      <c r="G137" s="11" t="str">
        <f>IF(E136&lt;0.5,"Low", "High")</f>
        <v>Low</v>
      </c>
      <c r="H137" s="9">
        <f>SCE_Ds[[#This Row],[Margins ($)]]/SCE_Ds[[#This Row],[With Margins ($)]]</f>
        <v>0</v>
      </c>
    </row>
    <row r="138" spans="1:8" x14ac:dyDescent="0.3">
      <c r="A138">
        <v>335991</v>
      </c>
      <c r="B138" t="s">
        <v>465</v>
      </c>
      <c r="C138" s="33">
        <v>0.34699999999999998</v>
      </c>
      <c r="D138" s="33">
        <v>1.6E-2</v>
      </c>
      <c r="E138" s="33">
        <v>0.36299999999999999</v>
      </c>
      <c r="F138" s="33">
        <f>SCE_Ds[[#This Row],[With Margins ($)]]-SCE_Ds[[#This Row],[ without Margins ( $)]]</f>
        <v>1.6000000000000014E-2</v>
      </c>
      <c r="G138" s="11" t="str">
        <f>IF(E137&lt;0.5,"Low", "High")</f>
        <v>Low</v>
      </c>
      <c r="H138" s="9">
        <f>SCE_Ds[[#This Row],[Margins ($)]]/SCE_Ds[[#This Row],[With Margins ($)]]</f>
        <v>4.4077134986225897E-2</v>
      </c>
    </row>
    <row r="139" spans="1:8" x14ac:dyDescent="0.3">
      <c r="A139">
        <v>314110</v>
      </c>
      <c r="B139" t="s">
        <v>207</v>
      </c>
      <c r="C139" s="33">
        <v>0.224</v>
      </c>
      <c r="D139" s="33">
        <v>6.8000000000000005E-2</v>
      </c>
      <c r="E139" s="33">
        <v>0.29199999999999998</v>
      </c>
      <c r="F139" s="33">
        <f>SCE_Ds[[#This Row],[With Margins ($)]]-SCE_Ds[[#This Row],[ without Margins ( $)]]</f>
        <v>6.7999999999999977E-2</v>
      </c>
      <c r="G139" s="11" t="str">
        <f>IF(E138&lt;0.5,"Low", "High")</f>
        <v>Low</v>
      </c>
      <c r="H139" s="9">
        <f>SCE_Ds[[#This Row],[Margins ($)]]/SCE_Ds[[#This Row],[With Margins ($)]]</f>
        <v>0.23287671232876717</v>
      </c>
    </row>
    <row r="140" spans="1:8" x14ac:dyDescent="0.3">
      <c r="A140">
        <v>561740</v>
      </c>
      <c r="B140" t="s">
        <v>913</v>
      </c>
      <c r="C140" s="33">
        <v>0.214</v>
      </c>
      <c r="D140" s="33">
        <v>0</v>
      </c>
      <c r="E140" s="33">
        <v>0.214</v>
      </c>
      <c r="F140" s="33">
        <f>SCE_Ds[[#This Row],[With Margins ($)]]-SCE_Ds[[#This Row],[ without Margins ( $)]]</f>
        <v>0</v>
      </c>
      <c r="G140" s="11" t="str">
        <f>IF(E139&lt;0.5,"Low", "High")</f>
        <v>Low</v>
      </c>
      <c r="H140" s="9">
        <f>SCE_Ds[[#This Row],[Margins ($)]]/SCE_Ds[[#This Row],[With Margins ($)]]</f>
        <v>0</v>
      </c>
    </row>
    <row r="141" spans="1:8" x14ac:dyDescent="0.3">
      <c r="A141">
        <v>721120</v>
      </c>
      <c r="B141" t="s">
        <v>1017</v>
      </c>
      <c r="C141" s="33">
        <v>0.14499999999999999</v>
      </c>
      <c r="D141" s="33">
        <v>0</v>
      </c>
      <c r="E141" s="33">
        <v>0.14499999999999999</v>
      </c>
      <c r="F141" s="33">
        <f>SCE_Ds[[#This Row],[With Margins ($)]]-SCE_Ds[[#This Row],[ without Margins ( $)]]</f>
        <v>0</v>
      </c>
      <c r="G141" s="11" t="str">
        <f>IF(E140&lt;0.5,"Low", "High")</f>
        <v>Low</v>
      </c>
      <c r="H141" s="9">
        <f>SCE_Ds[[#This Row],[Margins ($)]]/SCE_Ds[[#This Row],[With Margins ($)]]</f>
        <v>0</v>
      </c>
    </row>
    <row r="142" spans="1:8" x14ac:dyDescent="0.3">
      <c r="A142">
        <v>713210</v>
      </c>
      <c r="B142" t="s">
        <v>1008</v>
      </c>
      <c r="C142" s="33">
        <v>0.17399999999999999</v>
      </c>
      <c r="D142" s="33">
        <v>0</v>
      </c>
      <c r="E142" s="33">
        <v>0.17399999999999999</v>
      </c>
      <c r="F142" s="33">
        <f>SCE_Ds[[#This Row],[With Margins ($)]]-SCE_Ds[[#This Row],[ without Margins ( $)]]</f>
        <v>0</v>
      </c>
      <c r="G142" s="11" t="str">
        <f>IF(E141&lt;0.5,"Low", "High")</f>
        <v>Low</v>
      </c>
      <c r="H142" s="9">
        <f>SCE_Ds[[#This Row],[Margins ($)]]/SCE_Ds[[#This Row],[With Margins ($)]]</f>
        <v>0</v>
      </c>
    </row>
    <row r="143" spans="1:8" x14ac:dyDescent="0.3">
      <c r="A143">
        <v>722320</v>
      </c>
      <c r="B143" t="s">
        <v>1025</v>
      </c>
      <c r="C143" s="33">
        <v>0.13200000000000001</v>
      </c>
      <c r="D143" s="33">
        <v>0</v>
      </c>
      <c r="E143" s="33">
        <v>0.13200000000000001</v>
      </c>
      <c r="F143" s="33">
        <f>SCE_Ds[[#This Row],[With Margins ($)]]-SCE_Ds[[#This Row],[ without Margins ( $)]]</f>
        <v>0</v>
      </c>
      <c r="G143" s="11" t="str">
        <f>IF(E142&lt;0.5,"Low", "High")</f>
        <v>Low</v>
      </c>
      <c r="H143" s="9">
        <f>SCE_Ds[[#This Row],[Margins ($)]]/SCE_Ds[[#This Row],[With Margins ($)]]</f>
        <v>0</v>
      </c>
    </row>
    <row r="144" spans="1:8" x14ac:dyDescent="0.3">
      <c r="A144">
        <v>112112</v>
      </c>
      <c r="B144" t="s">
        <v>40</v>
      </c>
      <c r="C144" s="33">
        <v>2.847</v>
      </c>
      <c r="D144" s="34">
        <v>4.4999999999999998E-2</v>
      </c>
      <c r="E144" s="33">
        <v>2.8929999999999998</v>
      </c>
      <c r="F144" s="33">
        <f>SCE_Ds[[#This Row],[With Margins ($)]]-SCE_Ds[[#This Row],[ without Margins ( $)]]</f>
        <v>4.5999999999999819E-2</v>
      </c>
      <c r="G144" s="11" t="str">
        <f>IF(E143&lt;0.5,"Low", "High")</f>
        <v>Low</v>
      </c>
      <c r="H144" s="9">
        <f>SCE_Ds[[#This Row],[Margins ($)]]/SCE_Ds[[#This Row],[With Margins ($)]]</f>
        <v>1.5554787417905289E-2</v>
      </c>
    </row>
    <row r="145" spans="1:8" x14ac:dyDescent="0.3">
      <c r="A145">
        <v>327310</v>
      </c>
      <c r="B145" t="s">
        <v>311</v>
      </c>
      <c r="C145" s="33">
        <v>3.8460000000000001</v>
      </c>
      <c r="D145" s="34">
        <v>7.8E-2</v>
      </c>
      <c r="E145" s="33">
        <v>3.9239999999999999</v>
      </c>
      <c r="F145" s="33">
        <f>SCE_Ds[[#This Row],[With Margins ($)]]-SCE_Ds[[#This Row],[ without Margins ( $)]]</f>
        <v>7.7999999999999847E-2</v>
      </c>
      <c r="G145" s="11" t="str">
        <f>IF(E144&lt;0.5,"Low", "High")</f>
        <v>High</v>
      </c>
      <c r="H145" s="9">
        <f>SCE_Ds[[#This Row],[Margins ($)]]/SCE_Ds[[#This Row],[With Margins ($)]]</f>
        <v>1.9877675840978593E-2</v>
      </c>
    </row>
    <row r="146" spans="1:8" x14ac:dyDescent="0.3">
      <c r="A146">
        <v>812220</v>
      </c>
      <c r="B146" t="s">
        <v>1057</v>
      </c>
      <c r="C146" s="33">
        <v>4.7E-2</v>
      </c>
      <c r="D146" s="33">
        <v>0</v>
      </c>
      <c r="E146" s="33">
        <v>4.7E-2</v>
      </c>
      <c r="F146" s="33">
        <f>SCE_Ds[[#This Row],[With Margins ($)]]-SCE_Ds[[#This Row],[ without Margins ( $)]]</f>
        <v>0</v>
      </c>
      <c r="G146" s="11" t="str">
        <f>IF(E145&lt;0.5,"Low", "High")</f>
        <v>High</v>
      </c>
      <c r="H146" s="9">
        <f>SCE_Ds[[#This Row],[Margins ($)]]/SCE_Ds[[#This Row],[With Margins ($)]]</f>
        <v>0</v>
      </c>
    </row>
    <row r="147" spans="1:8" x14ac:dyDescent="0.3">
      <c r="A147">
        <v>485510</v>
      </c>
      <c r="B147" t="s">
        <v>693</v>
      </c>
      <c r="C147" s="33">
        <v>0.56599999999999995</v>
      </c>
      <c r="D147" s="34">
        <v>0</v>
      </c>
      <c r="E147" s="33">
        <v>0.56599999999999995</v>
      </c>
      <c r="F147" s="33">
        <f>SCE_Ds[[#This Row],[With Margins ($)]]-SCE_Ds[[#This Row],[ without Margins ( $)]]</f>
        <v>0</v>
      </c>
      <c r="G147" s="11" t="str">
        <f>IF(E146&lt;0.5,"Low", "High")</f>
        <v>Low</v>
      </c>
      <c r="H147" s="9">
        <f>SCE_Ds[[#This Row],[Margins ($)]]/SCE_Ds[[#This Row],[With Margins ($)]]</f>
        <v>0</v>
      </c>
    </row>
    <row r="148" spans="1:8" x14ac:dyDescent="0.3">
      <c r="A148">
        <v>311513</v>
      </c>
      <c r="B148" t="s">
        <v>169</v>
      </c>
      <c r="C148" s="33">
        <v>0.93600000000000005</v>
      </c>
      <c r="D148" s="34">
        <v>3.4000000000000002E-2</v>
      </c>
      <c r="E148" s="33">
        <v>0.96899999999999997</v>
      </c>
      <c r="F148" s="33">
        <f>SCE_Ds[[#This Row],[With Margins ($)]]-SCE_Ds[[#This Row],[ without Margins ( $)]]</f>
        <v>3.2999999999999918E-2</v>
      </c>
      <c r="G148" s="11" t="str">
        <f>IF(E147&lt;0.5,"Low", "High")</f>
        <v>High</v>
      </c>
      <c r="H148" s="9">
        <f>SCE_Ds[[#This Row],[Margins ($)]]/SCE_Ds[[#This Row],[With Margins ($)]]</f>
        <v>3.5087719298245619E-2</v>
      </c>
    </row>
    <row r="149" spans="1:8" x14ac:dyDescent="0.3">
      <c r="A149">
        <v>112310</v>
      </c>
      <c r="B149" t="s">
        <v>45</v>
      </c>
      <c r="C149" s="33">
        <v>0.40699999999999997</v>
      </c>
      <c r="D149" s="34">
        <v>3.1E-2</v>
      </c>
      <c r="E149" s="33">
        <v>0.438</v>
      </c>
      <c r="F149" s="33">
        <f>SCE_Ds[[#This Row],[With Margins ($)]]-SCE_Ds[[#This Row],[ without Margins ( $)]]</f>
        <v>3.1000000000000028E-2</v>
      </c>
      <c r="G149" s="11" t="str">
        <f>IF(E148&lt;0.5,"Low", "High")</f>
        <v>High</v>
      </c>
      <c r="H149" s="9">
        <f>SCE_Ds[[#This Row],[Margins ($)]]/SCE_Ds[[#This Row],[With Margins ($)]]</f>
        <v>7.0776255707762553E-2</v>
      </c>
    </row>
    <row r="150" spans="1:8" x14ac:dyDescent="0.3">
      <c r="A150">
        <v>624110</v>
      </c>
      <c r="B150" t="s">
        <v>980</v>
      </c>
      <c r="C150" s="33">
        <v>0.11799999999999999</v>
      </c>
      <c r="D150" s="33">
        <v>0</v>
      </c>
      <c r="E150" s="33">
        <v>0.11799999999999999</v>
      </c>
      <c r="F150" s="33">
        <f>SCE_Ds[[#This Row],[With Margins ($)]]-SCE_Ds[[#This Row],[ without Margins ( $)]]</f>
        <v>0</v>
      </c>
      <c r="G150" s="11" t="str">
        <f>IF(E149&lt;0.5,"Low", "High")</f>
        <v>Low</v>
      </c>
      <c r="H150" s="9">
        <f>SCE_Ds[[#This Row],[Margins ($)]]/SCE_Ds[[#This Row],[With Margins ($)]]</f>
        <v>0</v>
      </c>
    </row>
    <row r="151" spans="1:8" x14ac:dyDescent="0.3">
      <c r="A151">
        <v>624410</v>
      </c>
      <c r="B151" t="s">
        <v>989</v>
      </c>
      <c r="C151" s="33">
        <v>0.215</v>
      </c>
      <c r="D151" s="33">
        <v>0</v>
      </c>
      <c r="E151" s="33">
        <v>0.215</v>
      </c>
      <c r="F151" s="33">
        <f>SCE_Ds[[#This Row],[With Margins ($)]]-SCE_Ds[[#This Row],[ without Margins ( $)]]</f>
        <v>0</v>
      </c>
      <c r="G151" s="11" t="str">
        <f>IF(E150&lt;0.5,"Low", "High")</f>
        <v>Low</v>
      </c>
      <c r="H151" s="9">
        <f>SCE_Ds[[#This Row],[Margins ($)]]/SCE_Ds[[#This Row],[With Margins ($)]]</f>
        <v>0</v>
      </c>
    </row>
    <row r="152" spans="1:8" x14ac:dyDescent="0.3">
      <c r="A152">
        <v>448130</v>
      </c>
      <c r="B152" t="s">
        <v>637</v>
      </c>
      <c r="C152" s="33">
        <v>0.13800000000000001</v>
      </c>
      <c r="D152" s="33">
        <v>0</v>
      </c>
      <c r="E152" s="33">
        <v>0.13800000000000001</v>
      </c>
      <c r="F152" s="33">
        <f>SCE_Ds[[#This Row],[With Margins ($)]]-SCE_Ds[[#This Row],[ without Margins ( $)]]</f>
        <v>0</v>
      </c>
      <c r="G152" s="11" t="str">
        <f>IF(E151&lt;0.5,"Low", "High")</f>
        <v>Low</v>
      </c>
      <c r="H152" s="9">
        <f>SCE_Ds[[#This Row],[Margins ($)]]/SCE_Ds[[#This Row],[With Margins ($)]]</f>
        <v>0</v>
      </c>
    </row>
    <row r="153" spans="1:8" x14ac:dyDescent="0.3">
      <c r="A153">
        <v>311351</v>
      </c>
      <c r="B153" t="s">
        <v>159</v>
      </c>
      <c r="C153" s="33">
        <v>0.442</v>
      </c>
      <c r="D153" s="33">
        <v>0.04</v>
      </c>
      <c r="E153" s="33">
        <v>0.48199999999999998</v>
      </c>
      <c r="F153" s="33">
        <f>SCE_Ds[[#This Row],[With Margins ($)]]-SCE_Ds[[#This Row],[ without Margins ( $)]]</f>
        <v>3.999999999999998E-2</v>
      </c>
      <c r="G153" s="11" t="str">
        <f>IF(E152&lt;0.5,"Low", "High")</f>
        <v>Low</v>
      </c>
      <c r="H153" s="9">
        <f>SCE_Ds[[#This Row],[Margins ($)]]/SCE_Ds[[#This Row],[With Margins ($)]]</f>
        <v>8.2987551867219927E-2</v>
      </c>
    </row>
    <row r="154" spans="1:8" x14ac:dyDescent="0.3">
      <c r="A154">
        <v>111320</v>
      </c>
      <c r="B154" t="s">
        <v>19</v>
      </c>
      <c r="C154" s="33">
        <v>0.42899999999999999</v>
      </c>
      <c r="D154" s="33">
        <v>5.8999999999999997E-2</v>
      </c>
      <c r="E154" s="33">
        <v>0.48799999999999999</v>
      </c>
      <c r="F154" s="33">
        <f>SCE_Ds[[#This Row],[With Margins ($)]]-SCE_Ds[[#This Row],[ without Margins ( $)]]</f>
        <v>5.8999999999999997E-2</v>
      </c>
      <c r="G154" s="11" t="str">
        <f>IF(E153&lt;0.5,"Low", "High")</f>
        <v>Low</v>
      </c>
      <c r="H154" s="9">
        <f>SCE_Ds[[#This Row],[Margins ($)]]/SCE_Ds[[#This Row],[With Margins ($)]]</f>
        <v>0.12090163934426229</v>
      </c>
    </row>
    <row r="155" spans="1:8" x14ac:dyDescent="0.3">
      <c r="A155">
        <v>813410</v>
      </c>
      <c r="B155" t="s">
        <v>1075</v>
      </c>
      <c r="C155" s="33">
        <v>0.128</v>
      </c>
      <c r="D155" s="33">
        <v>0</v>
      </c>
      <c r="E155" s="33">
        <v>0.128</v>
      </c>
      <c r="F155" s="33">
        <f>SCE_Ds[[#This Row],[With Margins ($)]]-SCE_Ds[[#This Row],[ without Margins ( $)]]</f>
        <v>0</v>
      </c>
      <c r="G155" s="11" t="str">
        <f>IF(E154&lt;0.5,"Low", "High")</f>
        <v>Low</v>
      </c>
      <c r="H155" s="9">
        <f>SCE_Ds[[#This Row],[Margins ($)]]/SCE_Ds[[#This Row],[With Margins ($)]]</f>
        <v>0</v>
      </c>
    </row>
    <row r="156" spans="1:8" x14ac:dyDescent="0.3">
      <c r="A156">
        <v>524291</v>
      </c>
      <c r="B156" t="s">
        <v>794</v>
      </c>
      <c r="C156" s="33">
        <v>2.9000000000000001E-2</v>
      </c>
      <c r="D156" s="33">
        <v>0</v>
      </c>
      <c r="E156" s="33">
        <v>2.9000000000000001E-2</v>
      </c>
      <c r="F156" s="33">
        <f>SCE_Ds[[#This Row],[With Margins ($)]]-SCE_Ds[[#This Row],[ without Margins ( $)]]</f>
        <v>0</v>
      </c>
      <c r="G156" s="11" t="str">
        <f>IF(E155&lt;0.5,"Low", "High")</f>
        <v>Low</v>
      </c>
      <c r="H156" s="9">
        <f>SCE_Ds[[#This Row],[Margins ($)]]/SCE_Ds[[#This Row],[With Margins ($)]]</f>
        <v>0</v>
      </c>
    </row>
    <row r="157" spans="1:8" x14ac:dyDescent="0.3">
      <c r="A157">
        <v>212325</v>
      </c>
      <c r="B157" t="s">
        <v>94</v>
      </c>
      <c r="C157" s="33">
        <v>0.184</v>
      </c>
      <c r="D157" s="33">
        <v>0.125</v>
      </c>
      <c r="E157" s="33">
        <v>0.309</v>
      </c>
      <c r="F157" s="33">
        <f>SCE_Ds[[#This Row],[With Margins ($)]]-SCE_Ds[[#This Row],[ without Margins ( $)]]</f>
        <v>0.125</v>
      </c>
      <c r="G157" s="11" t="str">
        <f>IF(E156&lt;0.5,"Low", "High")</f>
        <v>Low</v>
      </c>
      <c r="H157" s="9">
        <f>SCE_Ds[[#This Row],[Margins ($)]]/SCE_Ds[[#This Row],[With Margins ($)]]</f>
        <v>0.4045307443365696</v>
      </c>
    </row>
    <row r="158" spans="1:8" x14ac:dyDescent="0.3">
      <c r="A158">
        <v>327120</v>
      </c>
      <c r="B158" t="s">
        <v>306</v>
      </c>
      <c r="C158" s="33">
        <v>0.39900000000000002</v>
      </c>
      <c r="D158" s="33">
        <v>5.1999999999999998E-2</v>
      </c>
      <c r="E158" s="33">
        <v>0.45100000000000001</v>
      </c>
      <c r="F158" s="33">
        <f>SCE_Ds[[#This Row],[With Margins ($)]]-SCE_Ds[[#This Row],[ without Margins ( $)]]</f>
        <v>5.1999999999999991E-2</v>
      </c>
      <c r="G158" s="11" t="str">
        <f>IF(E157&lt;0.5,"Low", "High")</f>
        <v>Low</v>
      </c>
      <c r="H158" s="9">
        <f>SCE_Ds[[#This Row],[Margins ($)]]/SCE_Ds[[#This Row],[With Margins ($)]]</f>
        <v>0.11529933481152993</v>
      </c>
    </row>
    <row r="159" spans="1:8" x14ac:dyDescent="0.3">
      <c r="A159">
        <v>448150</v>
      </c>
      <c r="B159" t="s">
        <v>639</v>
      </c>
      <c r="C159" s="33">
        <v>0.13800000000000001</v>
      </c>
      <c r="D159" s="33">
        <v>0</v>
      </c>
      <c r="E159" s="33">
        <v>0.13800000000000001</v>
      </c>
      <c r="F159" s="33">
        <f>SCE_Ds[[#This Row],[With Margins ($)]]-SCE_Ds[[#This Row],[ without Margins ( $)]]</f>
        <v>0</v>
      </c>
      <c r="G159" s="11" t="str">
        <f>IF(E158&lt;0.5,"Low", "High")</f>
        <v>Low</v>
      </c>
      <c r="H159" s="9">
        <f>SCE_Ds[[#This Row],[Margins ($)]]/SCE_Ds[[#This Row],[With Margins ($)]]</f>
        <v>0</v>
      </c>
    </row>
    <row r="160" spans="1:8" x14ac:dyDescent="0.3">
      <c r="A160">
        <v>423520</v>
      </c>
      <c r="B160" t="s">
        <v>545</v>
      </c>
      <c r="C160" s="33">
        <v>0.108</v>
      </c>
      <c r="D160" s="33">
        <v>0</v>
      </c>
      <c r="E160" s="33">
        <v>0.108</v>
      </c>
      <c r="F160" s="33">
        <f>SCE_Ds[[#This Row],[With Margins ($)]]-SCE_Ds[[#This Row],[ without Margins ( $)]]</f>
        <v>0</v>
      </c>
      <c r="G160" s="11" t="str">
        <f>IF(E159&lt;0.5,"Low", "High")</f>
        <v>Low</v>
      </c>
      <c r="H160" s="9">
        <f>SCE_Ds[[#This Row],[Margins ($)]]/SCE_Ds[[#This Row],[With Margins ($)]]</f>
        <v>0</v>
      </c>
    </row>
    <row r="161" spans="1:8" x14ac:dyDescent="0.3">
      <c r="A161">
        <v>483113</v>
      </c>
      <c r="B161" t="s">
        <v>675</v>
      </c>
      <c r="C161" s="33">
        <v>0.81599999999999995</v>
      </c>
      <c r="D161" s="34">
        <v>0</v>
      </c>
      <c r="E161" s="33">
        <v>0.81599999999999995</v>
      </c>
      <c r="F161" s="33">
        <f>SCE_Ds[[#This Row],[With Margins ($)]]-SCE_Ds[[#This Row],[ without Margins ( $)]]</f>
        <v>0</v>
      </c>
      <c r="G161" s="11" t="str">
        <f>IF(E160&lt;0.5,"Low", "High")</f>
        <v>Low</v>
      </c>
      <c r="H161" s="9">
        <f>SCE_Ds[[#This Row],[Margins ($)]]/SCE_Ds[[#This Row],[With Margins ($)]]</f>
        <v>0</v>
      </c>
    </row>
    <row r="162" spans="1:8" x14ac:dyDescent="0.3">
      <c r="A162">
        <v>483114</v>
      </c>
      <c r="B162" t="s">
        <v>676</v>
      </c>
      <c r="C162" s="33">
        <v>0.81599999999999995</v>
      </c>
      <c r="D162" s="34">
        <v>0</v>
      </c>
      <c r="E162" s="33">
        <v>0.81599999999999995</v>
      </c>
      <c r="F162" s="33">
        <f>SCE_Ds[[#This Row],[With Margins ($)]]-SCE_Ds[[#This Row],[ without Margins ( $)]]</f>
        <v>0</v>
      </c>
      <c r="G162" s="11" t="str">
        <f>IF(E161&lt;0.5,"Low", "High")</f>
        <v>High</v>
      </c>
      <c r="H162" s="9">
        <f>SCE_Ds[[#This Row],[Margins ($)]]/SCE_Ds[[#This Row],[With Margins ($)]]</f>
        <v>0</v>
      </c>
    </row>
    <row r="163" spans="1:8" x14ac:dyDescent="0.3">
      <c r="A163">
        <v>311920</v>
      </c>
      <c r="B163" t="s">
        <v>187</v>
      </c>
      <c r="C163" s="33">
        <v>0.313</v>
      </c>
      <c r="D163" s="33">
        <v>0.04</v>
      </c>
      <c r="E163" s="33">
        <v>0.35299999999999998</v>
      </c>
      <c r="F163" s="33">
        <f>SCE_Ds[[#This Row],[With Margins ($)]]-SCE_Ds[[#This Row],[ without Margins ( $)]]</f>
        <v>3.999999999999998E-2</v>
      </c>
      <c r="G163" s="11" t="str">
        <f>IF(E162&lt;0.5,"Low", "High")</f>
        <v>High</v>
      </c>
      <c r="H163" s="9">
        <f>SCE_Ds[[#This Row],[Margins ($)]]/SCE_Ds[[#This Row],[With Margins ($)]]</f>
        <v>0.11331444759206799</v>
      </c>
    </row>
    <row r="164" spans="1:8" x14ac:dyDescent="0.3">
      <c r="A164">
        <v>812310</v>
      </c>
      <c r="B164" t="s">
        <v>1058</v>
      </c>
      <c r="C164" s="33">
        <v>0.158</v>
      </c>
      <c r="D164" s="33">
        <v>0</v>
      </c>
      <c r="E164" s="33">
        <v>0.158</v>
      </c>
      <c r="F164" s="33">
        <f>SCE_Ds[[#This Row],[With Margins ($)]]-SCE_Ds[[#This Row],[ without Margins ( $)]]</f>
        <v>0</v>
      </c>
      <c r="G164" s="11" t="str">
        <f>IF(E163&lt;0.5,"Low", "High")</f>
        <v>Low</v>
      </c>
      <c r="H164" s="9">
        <f>SCE_Ds[[#This Row],[Margins ($)]]/SCE_Ds[[#This Row],[With Margins ($)]]</f>
        <v>0</v>
      </c>
    </row>
    <row r="165" spans="1:8" x14ac:dyDescent="0.3">
      <c r="A165">
        <v>561440</v>
      </c>
      <c r="B165" t="s">
        <v>896</v>
      </c>
      <c r="C165" s="33">
        <v>0.111</v>
      </c>
      <c r="D165" s="33">
        <v>0</v>
      </c>
      <c r="E165" s="33">
        <v>0.111</v>
      </c>
      <c r="F165" s="33">
        <f>SCE_Ds[[#This Row],[With Margins ($)]]-SCE_Ds[[#This Row],[ without Margins ( $)]]</f>
        <v>0</v>
      </c>
      <c r="G165" s="11" t="str">
        <f>IF(E164&lt;0.5,"Low", "High")</f>
        <v>Low</v>
      </c>
      <c r="H165" s="9">
        <f>SCE_Ds[[#This Row],[Margins ($)]]/SCE_Ds[[#This Row],[With Margins ($)]]</f>
        <v>0</v>
      </c>
    </row>
    <row r="166" spans="1:8" x14ac:dyDescent="0.3">
      <c r="A166">
        <v>611310</v>
      </c>
      <c r="B166" t="s">
        <v>932</v>
      </c>
      <c r="C166" s="33">
        <v>0.14000000000000001</v>
      </c>
      <c r="D166" s="33">
        <v>0</v>
      </c>
      <c r="E166" s="33">
        <v>0.14000000000000001</v>
      </c>
      <c r="F166" s="33">
        <f>SCE_Ds[[#This Row],[With Margins ($)]]-SCE_Ds[[#This Row],[ without Margins ( $)]]</f>
        <v>0</v>
      </c>
      <c r="G166" s="11" t="str">
        <f>IF(E165&lt;0.5,"Low", "High")</f>
        <v>Low</v>
      </c>
      <c r="H166" s="9">
        <f>SCE_Ds[[#This Row],[Margins ($)]]/SCE_Ds[[#This Row],[With Margins ($)]]</f>
        <v>0</v>
      </c>
    </row>
    <row r="167" spans="1:8" x14ac:dyDescent="0.3">
      <c r="A167">
        <v>532411</v>
      </c>
      <c r="B167" t="s">
        <v>825</v>
      </c>
      <c r="C167" s="33">
        <v>0.106</v>
      </c>
      <c r="D167" s="33">
        <v>0</v>
      </c>
      <c r="E167" s="33">
        <v>0.106</v>
      </c>
      <c r="F167" s="33">
        <f>SCE_Ds[[#This Row],[With Margins ($)]]-SCE_Ds[[#This Row],[ without Margins ( $)]]</f>
        <v>0</v>
      </c>
      <c r="G167" s="11" t="str">
        <f>IF(E166&lt;0.5,"Low", "High")</f>
        <v>Low</v>
      </c>
      <c r="H167" s="9">
        <f>SCE_Ds[[#This Row],[Margins ($)]]/SCE_Ds[[#This Row],[With Margins ($)]]</f>
        <v>0</v>
      </c>
    </row>
    <row r="168" spans="1:8" x14ac:dyDescent="0.3">
      <c r="A168">
        <v>811310</v>
      </c>
      <c r="B168" t="s">
        <v>1045</v>
      </c>
      <c r="C168" s="33">
        <v>0.13600000000000001</v>
      </c>
      <c r="D168" s="33">
        <v>0</v>
      </c>
      <c r="E168" s="33">
        <v>0.13600000000000001</v>
      </c>
      <c r="F168" s="33">
        <f>SCE_Ds[[#This Row],[With Margins ($)]]-SCE_Ds[[#This Row],[ without Margins ( $)]]</f>
        <v>0</v>
      </c>
      <c r="G168" s="11" t="str">
        <f>IF(E167&lt;0.5,"Low", "High")</f>
        <v>Low</v>
      </c>
      <c r="H168" s="9">
        <f>SCE_Ds[[#This Row],[Margins ($)]]/SCE_Ds[[#This Row],[With Margins ($)]]</f>
        <v>0</v>
      </c>
    </row>
    <row r="169" spans="1:8" x14ac:dyDescent="0.3">
      <c r="A169">
        <v>236220</v>
      </c>
      <c r="B169" t="s">
        <v>116</v>
      </c>
      <c r="C169" s="33">
        <v>0.224</v>
      </c>
      <c r="D169" s="33">
        <v>0</v>
      </c>
      <c r="E169" s="33">
        <v>0.224</v>
      </c>
      <c r="F169" s="33">
        <f>SCE_Ds[[#This Row],[With Margins ($)]]-SCE_Ds[[#This Row],[ without Margins ( $)]]</f>
        <v>0</v>
      </c>
      <c r="G169" s="11" t="str">
        <f>IF(E168&lt;0.5,"Low", "High")</f>
        <v>Low</v>
      </c>
      <c r="H169" s="9">
        <f>SCE_Ds[[#This Row],[Margins ($)]]/SCE_Ds[[#This Row],[With Margins ($)]]</f>
        <v>0</v>
      </c>
    </row>
    <row r="170" spans="1:8" x14ac:dyDescent="0.3">
      <c r="A170">
        <v>311812</v>
      </c>
      <c r="B170" t="s">
        <v>179</v>
      </c>
      <c r="C170" s="33">
        <v>0.21299999999999999</v>
      </c>
      <c r="D170" s="33">
        <v>0.04</v>
      </c>
      <c r="E170" s="33">
        <v>0.253</v>
      </c>
      <c r="F170" s="33">
        <f>SCE_Ds[[#This Row],[With Margins ($)]]-SCE_Ds[[#This Row],[ without Margins ( $)]]</f>
        <v>4.0000000000000008E-2</v>
      </c>
      <c r="G170" s="11" t="str">
        <f>IF(E169&lt;0.5,"Low", "High")</f>
        <v>Low</v>
      </c>
      <c r="H170" s="9">
        <f>SCE_Ds[[#This Row],[Margins ($)]]/SCE_Ds[[#This Row],[With Margins ($)]]</f>
        <v>0.15810276679841898</v>
      </c>
    </row>
    <row r="171" spans="1:8" x14ac:dyDescent="0.3">
      <c r="A171">
        <v>522110</v>
      </c>
      <c r="B171" t="s">
        <v>760</v>
      </c>
      <c r="C171" s="33">
        <v>5.8999999999999997E-2</v>
      </c>
      <c r="D171" s="33">
        <v>0</v>
      </c>
      <c r="E171" s="33">
        <v>5.8999999999999997E-2</v>
      </c>
      <c r="F171" s="33">
        <f>SCE_Ds[[#This Row],[With Margins ($)]]-SCE_Ds[[#This Row],[ without Margins ( $)]]</f>
        <v>0</v>
      </c>
      <c r="G171" s="11" t="str">
        <f>IF(E170&lt;0.5,"Low", "High")</f>
        <v>Low</v>
      </c>
      <c r="H171" s="9">
        <f>SCE_Ds[[#This Row],[Margins ($)]]/SCE_Ds[[#This Row],[With Margins ($)]]</f>
        <v>0</v>
      </c>
    </row>
    <row r="172" spans="1:8" x14ac:dyDescent="0.3">
      <c r="A172">
        <v>541922</v>
      </c>
      <c r="B172" t="s">
        <v>878</v>
      </c>
      <c r="C172" s="33">
        <v>0.125</v>
      </c>
      <c r="D172" s="33">
        <v>0</v>
      </c>
      <c r="E172" s="33">
        <v>0.125</v>
      </c>
      <c r="F172" s="33">
        <f>SCE_Ds[[#This Row],[With Margins ($)]]-SCE_Ds[[#This Row],[ without Margins ( $)]]</f>
        <v>0</v>
      </c>
      <c r="G172" s="11" t="str">
        <f>IF(E171&lt;0.5,"Low", "High")</f>
        <v>Low</v>
      </c>
      <c r="H172" s="9">
        <f>SCE_Ds[[#This Row],[Margins ($)]]/SCE_Ds[[#This Row],[With Margins ($)]]</f>
        <v>0</v>
      </c>
    </row>
    <row r="173" spans="1:8" x14ac:dyDescent="0.3">
      <c r="A173">
        <v>323111</v>
      </c>
      <c r="B173" t="s">
        <v>249</v>
      </c>
      <c r="C173" s="33">
        <v>0.20200000000000001</v>
      </c>
      <c r="D173" s="33">
        <v>3.4000000000000002E-2</v>
      </c>
      <c r="E173" s="33">
        <v>0.23599999999999999</v>
      </c>
      <c r="F173" s="33">
        <f>SCE_Ds[[#This Row],[With Margins ($)]]-SCE_Ds[[#This Row],[ without Margins ( $)]]</f>
        <v>3.3999999999999975E-2</v>
      </c>
      <c r="G173" s="11" t="str">
        <f>IF(E172&lt;0.5,"Low", "High")</f>
        <v>Low</v>
      </c>
      <c r="H173" s="9">
        <f>SCE_Ds[[#This Row],[Margins ($)]]/SCE_Ds[[#This Row],[With Margins ($)]]</f>
        <v>0.1440677966101695</v>
      </c>
    </row>
    <row r="174" spans="1:8" x14ac:dyDescent="0.3">
      <c r="A174">
        <v>323113</v>
      </c>
      <c r="B174" t="s">
        <v>250</v>
      </c>
      <c r="C174" s="33">
        <v>0.20200000000000001</v>
      </c>
      <c r="D174" s="33">
        <v>3.4000000000000002E-2</v>
      </c>
      <c r="E174" s="33">
        <v>0.23599999999999999</v>
      </c>
      <c r="F174" s="33">
        <f>SCE_Ds[[#This Row],[With Margins ($)]]-SCE_Ds[[#This Row],[ without Margins ( $)]]</f>
        <v>3.3999999999999975E-2</v>
      </c>
      <c r="G174" s="11" t="str">
        <f>IF(E173&lt;0.5,"Low", "High")</f>
        <v>Low</v>
      </c>
      <c r="H174" s="9">
        <f>SCE_Ds[[#This Row],[Margins ($)]]/SCE_Ds[[#This Row],[With Margins ($)]]</f>
        <v>0.1440677966101695</v>
      </c>
    </row>
    <row r="175" spans="1:8" x14ac:dyDescent="0.3">
      <c r="A175">
        <v>335122</v>
      </c>
      <c r="B175" t="s">
        <v>451</v>
      </c>
      <c r="C175" s="33">
        <v>0.13800000000000001</v>
      </c>
      <c r="D175" s="33">
        <v>4.7E-2</v>
      </c>
      <c r="E175" s="33">
        <v>0.185</v>
      </c>
      <c r="F175" s="33">
        <f>SCE_Ds[[#This Row],[With Margins ($)]]-SCE_Ds[[#This Row],[ without Margins ( $)]]</f>
        <v>4.6999999999999986E-2</v>
      </c>
      <c r="G175" s="11" t="str">
        <f>IF(E174&lt;0.5,"Low", "High")</f>
        <v>Low</v>
      </c>
      <c r="H175" s="9">
        <f>SCE_Ds[[#This Row],[Margins ($)]]/SCE_Ds[[#This Row],[With Margins ($)]]</f>
        <v>0.25405405405405407</v>
      </c>
    </row>
    <row r="176" spans="1:8" x14ac:dyDescent="0.3">
      <c r="A176">
        <v>523140</v>
      </c>
      <c r="B176" t="s">
        <v>779</v>
      </c>
      <c r="C176" s="33">
        <v>4.2999999999999997E-2</v>
      </c>
      <c r="D176" s="33">
        <v>0</v>
      </c>
      <c r="E176" s="33">
        <v>4.2999999999999997E-2</v>
      </c>
      <c r="F176" s="33">
        <f>SCE_Ds[[#This Row],[With Margins ($)]]-SCE_Ds[[#This Row],[ without Margins ( $)]]</f>
        <v>0</v>
      </c>
      <c r="G176" s="11" t="str">
        <f>IF(E175&lt;0.5,"Low", "High")</f>
        <v>Low</v>
      </c>
      <c r="H176" s="9">
        <f>SCE_Ds[[#This Row],[Margins ($)]]/SCE_Ds[[#This Row],[With Margins ($)]]</f>
        <v>0</v>
      </c>
    </row>
    <row r="177" spans="1:8" x14ac:dyDescent="0.3">
      <c r="A177">
        <v>523130</v>
      </c>
      <c r="B177" t="s">
        <v>778</v>
      </c>
      <c r="C177" s="33">
        <v>4.2999999999999997E-2</v>
      </c>
      <c r="D177" s="33">
        <v>0</v>
      </c>
      <c r="E177" s="33">
        <v>4.2999999999999997E-2</v>
      </c>
      <c r="F177" s="33">
        <f>SCE_Ds[[#This Row],[With Margins ($)]]-SCE_Ds[[#This Row],[ without Margins ( $)]]</f>
        <v>0</v>
      </c>
      <c r="G177" s="11" t="str">
        <f>IF(E176&lt;0.5,"Low", "High")</f>
        <v>Low</v>
      </c>
      <c r="H177" s="9">
        <f>SCE_Ds[[#This Row],[Margins ($)]]/SCE_Ds[[#This Row],[With Margins ($)]]</f>
        <v>0</v>
      </c>
    </row>
    <row r="178" spans="1:8" x14ac:dyDescent="0.3">
      <c r="A178">
        <v>811213</v>
      </c>
      <c r="B178" t="s">
        <v>1043</v>
      </c>
      <c r="C178" s="33">
        <v>7.5999999999999998E-2</v>
      </c>
      <c r="D178" s="33">
        <v>0</v>
      </c>
      <c r="E178" s="33">
        <v>7.5999999999999998E-2</v>
      </c>
      <c r="F178" s="33">
        <f>SCE_Ds[[#This Row],[With Margins ($)]]-SCE_Ds[[#This Row],[ without Margins ( $)]]</f>
        <v>0</v>
      </c>
      <c r="G178" s="11" t="str">
        <f>IF(E177&lt;0.5,"Low", "High")</f>
        <v>Low</v>
      </c>
      <c r="H178" s="9">
        <f>SCE_Ds[[#This Row],[Margins ($)]]/SCE_Ds[[#This Row],[With Margins ($)]]</f>
        <v>0</v>
      </c>
    </row>
    <row r="179" spans="1:8" x14ac:dyDescent="0.3">
      <c r="A179">
        <v>624210</v>
      </c>
      <c r="B179" t="s">
        <v>983</v>
      </c>
      <c r="C179" s="33">
        <v>0.217</v>
      </c>
      <c r="D179" s="33">
        <v>0</v>
      </c>
      <c r="E179" s="33">
        <v>0.217</v>
      </c>
      <c r="F179" s="33">
        <f>SCE_Ds[[#This Row],[With Margins ($)]]-SCE_Ds[[#This Row],[ without Margins ( $)]]</f>
        <v>0</v>
      </c>
      <c r="G179" s="11" t="str">
        <f>IF(E178&lt;0.5,"Low", "High")</f>
        <v>Low</v>
      </c>
      <c r="H179" s="9">
        <f>SCE_Ds[[#This Row],[Margins ($)]]/SCE_Ds[[#This Row],[With Margins ($)]]</f>
        <v>0</v>
      </c>
    </row>
    <row r="180" spans="1:8" x14ac:dyDescent="0.3">
      <c r="A180">
        <v>485112</v>
      </c>
      <c r="B180" t="s">
        <v>686</v>
      </c>
      <c r="C180" s="33">
        <v>0.56599999999999995</v>
      </c>
      <c r="D180" s="34">
        <v>0</v>
      </c>
      <c r="E180" s="33">
        <v>0.56599999999999995</v>
      </c>
      <c r="F180" s="33">
        <f>SCE_Ds[[#This Row],[With Margins ($)]]-SCE_Ds[[#This Row],[ without Margins ( $)]]</f>
        <v>0</v>
      </c>
      <c r="G180" s="11" t="str">
        <f>IF(E179&lt;0.5,"Low", "High")</f>
        <v>Low</v>
      </c>
      <c r="H180" s="9">
        <f>SCE_Ds[[#This Row],[Margins ($)]]/SCE_Ds[[#This Row],[With Margins ($)]]</f>
        <v>0</v>
      </c>
    </row>
    <row r="181" spans="1:8" x14ac:dyDescent="0.3">
      <c r="A181">
        <v>423430</v>
      </c>
      <c r="B181" t="s">
        <v>539</v>
      </c>
      <c r="C181" s="33">
        <v>7.3999999999999996E-2</v>
      </c>
      <c r="D181" s="33">
        <v>0</v>
      </c>
      <c r="E181" s="33">
        <v>7.3999999999999996E-2</v>
      </c>
      <c r="F181" s="33">
        <f>SCE_Ds[[#This Row],[With Margins ($)]]-SCE_Ds[[#This Row],[ without Margins ( $)]]</f>
        <v>0</v>
      </c>
      <c r="G181" s="11" t="str">
        <f>IF(E180&lt;0.5,"Low", "High")</f>
        <v>High</v>
      </c>
      <c r="H181" s="9">
        <f>SCE_Ds[[#This Row],[Margins ($)]]/SCE_Ds[[#This Row],[With Margins ($)]]</f>
        <v>0</v>
      </c>
    </row>
    <row r="182" spans="1:8" x14ac:dyDescent="0.3">
      <c r="A182">
        <v>811212</v>
      </c>
      <c r="B182" t="s">
        <v>1042</v>
      </c>
      <c r="C182" s="33">
        <v>7.5999999999999998E-2</v>
      </c>
      <c r="D182" s="33">
        <v>0</v>
      </c>
      <c r="E182" s="33">
        <v>7.5999999999999998E-2</v>
      </c>
      <c r="F182" s="33">
        <f>SCE_Ds[[#This Row],[With Margins ($)]]-SCE_Ds[[#This Row],[ without Margins ( $)]]</f>
        <v>0</v>
      </c>
      <c r="G182" s="11" t="str">
        <f>IF(E181&lt;0.5,"Low", "High")</f>
        <v>Low</v>
      </c>
      <c r="H182" s="9">
        <f>SCE_Ds[[#This Row],[Margins ($)]]/SCE_Ds[[#This Row],[With Margins ($)]]</f>
        <v>0</v>
      </c>
    </row>
    <row r="183" spans="1:8" x14ac:dyDescent="0.3">
      <c r="A183">
        <v>541513</v>
      </c>
      <c r="B183" t="s">
        <v>852</v>
      </c>
      <c r="C183" s="33">
        <v>0.08</v>
      </c>
      <c r="D183" s="33">
        <v>0</v>
      </c>
      <c r="E183" s="33">
        <v>0.08</v>
      </c>
      <c r="F183" s="33">
        <f>SCE_Ds[[#This Row],[With Margins ($)]]-SCE_Ds[[#This Row],[ without Margins ( $)]]</f>
        <v>0</v>
      </c>
      <c r="G183" s="11" t="str">
        <f>IF(E182&lt;0.5,"Low", "High")</f>
        <v>Low</v>
      </c>
      <c r="H183" s="9">
        <f>SCE_Ds[[#This Row],[Margins ($)]]/SCE_Ds[[#This Row],[With Margins ($)]]</f>
        <v>0</v>
      </c>
    </row>
    <row r="184" spans="1:8" x14ac:dyDescent="0.3">
      <c r="A184">
        <v>334112</v>
      </c>
      <c r="B184" t="s">
        <v>424</v>
      </c>
      <c r="C184" s="33">
        <v>0.04</v>
      </c>
      <c r="D184" s="33">
        <v>3.1E-2</v>
      </c>
      <c r="E184" s="33">
        <v>7.0999999999999994E-2</v>
      </c>
      <c r="F184" s="33">
        <f>SCE_Ds[[#This Row],[With Margins ($)]]-SCE_Ds[[#This Row],[ without Margins ( $)]]</f>
        <v>3.0999999999999993E-2</v>
      </c>
      <c r="G184" s="11" t="str">
        <f>IF(E183&lt;0.5,"Low", "High")</f>
        <v>Low</v>
      </c>
      <c r="H184" s="9">
        <f>SCE_Ds[[#This Row],[Margins ($)]]/SCE_Ds[[#This Row],[With Margins ($)]]</f>
        <v>0.43661971830985918</v>
      </c>
    </row>
    <row r="185" spans="1:8" x14ac:dyDescent="0.3">
      <c r="A185">
        <v>541512</v>
      </c>
      <c r="B185" t="s">
        <v>851</v>
      </c>
      <c r="C185" s="33">
        <v>8.8999999999999996E-2</v>
      </c>
      <c r="D185" s="33">
        <v>0</v>
      </c>
      <c r="E185" s="33">
        <v>8.8999999999999996E-2</v>
      </c>
      <c r="F185" s="33">
        <f>SCE_Ds[[#This Row],[With Margins ($)]]-SCE_Ds[[#This Row],[ without Margins ( $)]]</f>
        <v>0</v>
      </c>
      <c r="G185" s="11" t="str">
        <f>IF(E184&lt;0.5,"Low", "High")</f>
        <v>Low</v>
      </c>
      <c r="H185" s="9">
        <f>SCE_Ds[[#This Row],[Margins ($)]]/SCE_Ds[[#This Row],[With Margins ($)]]</f>
        <v>0</v>
      </c>
    </row>
    <row r="186" spans="1:8" x14ac:dyDescent="0.3">
      <c r="A186">
        <v>334118</v>
      </c>
      <c r="B186" t="s">
        <v>425</v>
      </c>
      <c r="C186" s="33">
        <v>0.11600000000000001</v>
      </c>
      <c r="D186" s="33">
        <v>2.7E-2</v>
      </c>
      <c r="E186" s="33">
        <v>0.14299999999999999</v>
      </c>
      <c r="F186" s="33">
        <f>SCE_Ds[[#This Row],[With Margins ($)]]-SCE_Ds[[#This Row],[ without Margins ( $)]]</f>
        <v>2.6999999999999982E-2</v>
      </c>
      <c r="G186" s="11" t="str">
        <f>IF(E185&lt;0.5,"Low", "High")</f>
        <v>Low</v>
      </c>
      <c r="H186" s="9">
        <f>SCE_Ds[[#This Row],[Margins ($)]]/SCE_Ds[[#This Row],[With Margins ($)]]</f>
        <v>0.18881118881118883</v>
      </c>
    </row>
    <row r="187" spans="1:8" x14ac:dyDescent="0.3">
      <c r="A187">
        <v>611420</v>
      </c>
      <c r="B187" t="s">
        <v>935</v>
      </c>
      <c r="C187" s="33">
        <v>0.108</v>
      </c>
      <c r="D187" s="33">
        <v>0</v>
      </c>
      <c r="E187" s="33">
        <v>0.108</v>
      </c>
      <c r="F187" s="33">
        <f>SCE_Ds[[#This Row],[With Margins ($)]]-SCE_Ds[[#This Row],[ without Margins ( $)]]</f>
        <v>0</v>
      </c>
      <c r="G187" s="11" t="str">
        <f>IF(E186&lt;0.5,"Low", "High")</f>
        <v>Low</v>
      </c>
      <c r="H187" s="9">
        <f>SCE_Ds[[#This Row],[Margins ($)]]/SCE_Ds[[#This Row],[With Margins ($)]]</f>
        <v>0</v>
      </c>
    </row>
    <row r="188" spans="1:8" x14ac:dyDescent="0.3">
      <c r="A188">
        <v>327331</v>
      </c>
      <c r="B188" t="s">
        <v>313</v>
      </c>
      <c r="C188" s="33">
        <v>0.26400000000000001</v>
      </c>
      <c r="D188" s="34">
        <v>6.3E-2</v>
      </c>
      <c r="E188" s="33">
        <v>0.32800000000000001</v>
      </c>
      <c r="F188" s="33">
        <f>SCE_Ds[[#This Row],[With Margins ($)]]-SCE_Ds[[#This Row],[ without Margins ( $)]]</f>
        <v>6.4000000000000001E-2</v>
      </c>
      <c r="G188" s="11" t="str">
        <f>IF(E187&lt;0.5,"Low", "High")</f>
        <v>Low</v>
      </c>
      <c r="H188" s="9">
        <f>SCE_Ds[[#This Row],[Margins ($)]]/SCE_Ds[[#This Row],[With Margins ($)]]</f>
        <v>0.19207317073170732</v>
      </c>
    </row>
    <row r="189" spans="1:8" x14ac:dyDescent="0.3">
      <c r="A189">
        <v>327332</v>
      </c>
      <c r="B189" t="s">
        <v>314</v>
      </c>
      <c r="C189" s="33">
        <v>0.26400000000000001</v>
      </c>
      <c r="D189" s="33">
        <v>6.3E-2</v>
      </c>
      <c r="E189" s="33">
        <v>0.32800000000000001</v>
      </c>
      <c r="F189" s="33">
        <f>SCE_Ds[[#This Row],[With Margins ($)]]-SCE_Ds[[#This Row],[ without Margins ( $)]]</f>
        <v>6.4000000000000001E-2</v>
      </c>
      <c r="G189" s="11" t="str">
        <f>IF(E188&lt;0.5,"Low", "High")</f>
        <v>Low</v>
      </c>
      <c r="H189" s="9">
        <f>SCE_Ds[[#This Row],[Margins ($)]]/SCE_Ds[[#This Row],[With Margins ($)]]</f>
        <v>0.19207317073170732</v>
      </c>
    </row>
    <row r="190" spans="1:8" x14ac:dyDescent="0.3">
      <c r="A190">
        <v>445292</v>
      </c>
      <c r="B190" t="s">
        <v>625</v>
      </c>
      <c r="C190" s="33">
        <v>0.186</v>
      </c>
      <c r="D190" s="33">
        <v>0</v>
      </c>
      <c r="E190" s="33">
        <v>0.186</v>
      </c>
      <c r="F190" s="33">
        <f>SCE_Ds[[#This Row],[With Margins ($)]]-SCE_Ds[[#This Row],[ without Margins ( $)]]</f>
        <v>0</v>
      </c>
      <c r="G190" s="11" t="str">
        <f>IF(E189&lt;0.5,"Low", "High")</f>
        <v>Low</v>
      </c>
      <c r="H190" s="9">
        <f>SCE_Ds[[#This Row],[Margins ($)]]/SCE_Ds[[#This Row],[With Margins ($)]]</f>
        <v>0</v>
      </c>
    </row>
    <row r="191" spans="1:8" x14ac:dyDescent="0.3">
      <c r="A191">
        <v>311352</v>
      </c>
      <c r="B191" t="s">
        <v>160</v>
      </c>
      <c r="C191" s="33">
        <v>0.442</v>
      </c>
      <c r="D191" s="33">
        <v>0.04</v>
      </c>
      <c r="E191" s="33">
        <v>0.48199999999999998</v>
      </c>
      <c r="F191" s="33">
        <f>SCE_Ds[[#This Row],[With Margins ($)]]-SCE_Ds[[#This Row],[ without Margins ( $)]]</f>
        <v>3.999999999999998E-2</v>
      </c>
      <c r="G191" s="11" t="str">
        <f>IF(E190&lt;0.5,"Low", "High")</f>
        <v>Low</v>
      </c>
      <c r="H191" s="9">
        <f>SCE_Ds[[#This Row],[Margins ($)]]/SCE_Ds[[#This Row],[With Margins ($)]]</f>
        <v>8.2987551867219927E-2</v>
      </c>
    </row>
    <row r="192" spans="1:8" x14ac:dyDescent="0.3">
      <c r="A192">
        <v>424450</v>
      </c>
      <c r="B192" t="s">
        <v>577</v>
      </c>
      <c r="C192" s="33">
        <v>0.159</v>
      </c>
      <c r="D192" s="33">
        <v>0</v>
      </c>
      <c r="E192" s="33">
        <v>0.159</v>
      </c>
      <c r="F192" s="33">
        <f>SCE_Ds[[#This Row],[With Margins ($)]]-SCE_Ds[[#This Row],[ without Margins ( $)]]</f>
        <v>0</v>
      </c>
      <c r="G192" s="11" t="str">
        <f>IF(E191&lt;0.5,"Low", "High")</f>
        <v>Low</v>
      </c>
      <c r="H192" s="9">
        <f>SCE_Ds[[#This Row],[Margins ($)]]/SCE_Ds[[#This Row],[With Margins ($)]]</f>
        <v>0</v>
      </c>
    </row>
    <row r="193" spans="1:8" x14ac:dyDescent="0.3">
      <c r="A193">
        <v>423810</v>
      </c>
      <c r="B193" t="s">
        <v>553</v>
      </c>
      <c r="C193" s="33">
        <v>0.115</v>
      </c>
      <c r="D193" s="33">
        <v>0</v>
      </c>
      <c r="E193" s="33">
        <v>0.115</v>
      </c>
      <c r="F193" s="33">
        <f>SCE_Ds[[#This Row],[With Margins ($)]]-SCE_Ds[[#This Row],[ without Margins ( $)]]</f>
        <v>0</v>
      </c>
      <c r="G193" s="11" t="str">
        <f>IF(E192&lt;0.5,"Low", "High")</f>
        <v>Low</v>
      </c>
      <c r="H193" s="9">
        <f>SCE_Ds[[#This Row],[Margins ($)]]/SCE_Ds[[#This Row],[With Margins ($)]]</f>
        <v>0</v>
      </c>
    </row>
    <row r="194" spans="1:8" x14ac:dyDescent="0.3">
      <c r="A194">
        <v>333120</v>
      </c>
      <c r="B194" t="s">
        <v>382</v>
      </c>
      <c r="C194" s="33">
        <v>0.20100000000000001</v>
      </c>
      <c r="D194" s="33">
        <v>2.7E-2</v>
      </c>
      <c r="E194" s="33">
        <v>0.22800000000000001</v>
      </c>
      <c r="F194" s="33">
        <f>SCE_Ds[[#This Row],[With Margins ($)]]-SCE_Ds[[#This Row],[ without Margins ( $)]]</f>
        <v>2.6999999999999996E-2</v>
      </c>
      <c r="G194" s="11" t="str">
        <f>IF(E193&lt;0.5,"Low", "High")</f>
        <v>Low</v>
      </c>
      <c r="H194" s="9">
        <f>SCE_Ds[[#This Row],[Margins ($)]]/SCE_Ds[[#This Row],[With Margins ($)]]</f>
        <v>0.11842105263157894</v>
      </c>
    </row>
    <row r="195" spans="1:8" x14ac:dyDescent="0.3">
      <c r="A195">
        <v>212321</v>
      </c>
      <c r="B195" t="s">
        <v>90</v>
      </c>
      <c r="C195" s="33">
        <v>0.184</v>
      </c>
      <c r="D195" s="33">
        <v>0.125</v>
      </c>
      <c r="E195" s="33">
        <v>0.309</v>
      </c>
      <c r="F195" s="33">
        <f>SCE_Ds[[#This Row],[With Margins ($)]]-SCE_Ds[[#This Row],[ without Margins ( $)]]</f>
        <v>0.125</v>
      </c>
      <c r="G195" s="11" t="str">
        <f>IF(E194&lt;0.5,"Low", "High")</f>
        <v>Low</v>
      </c>
      <c r="H195" s="9">
        <f>SCE_Ds[[#This Row],[Margins ($)]]/SCE_Ds[[#This Row],[With Margins ($)]]</f>
        <v>0.4045307443365696</v>
      </c>
    </row>
    <row r="196" spans="1:8" x14ac:dyDescent="0.3">
      <c r="A196">
        <v>532412</v>
      </c>
      <c r="B196" t="s">
        <v>826</v>
      </c>
      <c r="C196" s="33">
        <v>0.106</v>
      </c>
      <c r="D196" s="33">
        <v>0</v>
      </c>
      <c r="E196" s="33">
        <v>0.106</v>
      </c>
      <c r="F196" s="33">
        <f>SCE_Ds[[#This Row],[With Margins ($)]]-SCE_Ds[[#This Row],[ without Margins ( $)]]</f>
        <v>0</v>
      </c>
      <c r="G196" s="11" t="str">
        <f>IF(E195&lt;0.5,"Low", "High")</f>
        <v>Low</v>
      </c>
      <c r="H196" s="9">
        <f>SCE_Ds[[#This Row],[Margins ($)]]/SCE_Ds[[#This Row],[With Margins ($)]]</f>
        <v>0</v>
      </c>
    </row>
    <row r="197" spans="1:8" x14ac:dyDescent="0.3">
      <c r="A197">
        <v>532210</v>
      </c>
      <c r="B197" t="s">
        <v>817</v>
      </c>
      <c r="C197" s="33">
        <v>0.10199999999999999</v>
      </c>
      <c r="D197" s="33">
        <v>0</v>
      </c>
      <c r="E197" s="33">
        <v>0.10199999999999999</v>
      </c>
      <c r="F197" s="33">
        <f>SCE_Ds[[#This Row],[With Margins ($)]]-SCE_Ds[[#This Row],[ without Margins ( $)]]</f>
        <v>0</v>
      </c>
      <c r="G197" s="11" t="str">
        <f>IF(E196&lt;0.5,"Low", "High")</f>
        <v>Low</v>
      </c>
      <c r="H197" s="9">
        <f>SCE_Ds[[#This Row],[Margins ($)]]/SCE_Ds[[#This Row],[With Margins ($)]]</f>
        <v>0</v>
      </c>
    </row>
    <row r="198" spans="1:8" x14ac:dyDescent="0.3">
      <c r="A198">
        <v>811211</v>
      </c>
      <c r="B198" t="s">
        <v>1041</v>
      </c>
      <c r="C198" s="33">
        <v>7.5999999999999998E-2</v>
      </c>
      <c r="D198" s="33">
        <v>0</v>
      </c>
      <c r="E198" s="33">
        <v>7.5999999999999998E-2</v>
      </c>
      <c r="F198" s="33">
        <f>SCE_Ds[[#This Row],[With Margins ($)]]-SCE_Ds[[#This Row],[ without Margins ( $)]]</f>
        <v>0</v>
      </c>
      <c r="G198" s="11" t="str">
        <f>IF(E197&lt;0.5,"Low", "High")</f>
        <v>Low</v>
      </c>
      <c r="H198" s="9">
        <f>SCE_Ds[[#This Row],[Margins ($)]]/SCE_Ds[[#This Row],[With Margins ($)]]</f>
        <v>0</v>
      </c>
    </row>
    <row r="199" spans="1:8" x14ac:dyDescent="0.3">
      <c r="A199">
        <v>522291</v>
      </c>
      <c r="B199" t="s">
        <v>767</v>
      </c>
      <c r="C199" s="33">
        <v>7.1999999999999995E-2</v>
      </c>
      <c r="D199" s="33">
        <v>0</v>
      </c>
      <c r="E199" s="33">
        <v>7.1999999999999995E-2</v>
      </c>
      <c r="F199" s="33">
        <f>SCE_Ds[[#This Row],[With Margins ($)]]-SCE_Ds[[#This Row],[ without Margins ( $)]]</f>
        <v>0</v>
      </c>
      <c r="G199" s="11" t="str">
        <f>IF(E198&lt;0.5,"Low", "High")</f>
        <v>Low</v>
      </c>
      <c r="H199" s="9">
        <f>SCE_Ds[[#This Row],[Margins ($)]]/SCE_Ds[[#This Row],[With Margins ($)]]</f>
        <v>0</v>
      </c>
    </row>
    <row r="200" spans="1:8" x14ac:dyDescent="0.3">
      <c r="A200">
        <v>623311</v>
      </c>
      <c r="B200" t="s">
        <v>977</v>
      </c>
      <c r="C200" s="33">
        <v>0.159</v>
      </c>
      <c r="D200" s="33">
        <v>0</v>
      </c>
      <c r="E200" s="33">
        <v>0.159</v>
      </c>
      <c r="F200" s="33">
        <f>SCE_Ds[[#This Row],[With Margins ($)]]-SCE_Ds[[#This Row],[ without Margins ( $)]]</f>
        <v>0</v>
      </c>
      <c r="G200" s="11" t="str">
        <f>IF(E199&lt;0.5,"Low", "High")</f>
        <v>Low</v>
      </c>
      <c r="H200" s="9">
        <f>SCE_Ds[[#This Row],[Margins ($)]]/SCE_Ds[[#This Row],[With Margins ($)]]</f>
        <v>0</v>
      </c>
    </row>
    <row r="201" spans="1:8" x14ac:dyDescent="0.3">
      <c r="A201">
        <v>445120</v>
      </c>
      <c r="B201" t="s">
        <v>620</v>
      </c>
      <c r="C201" s="33">
        <v>0.186</v>
      </c>
      <c r="D201" s="33">
        <v>0</v>
      </c>
      <c r="E201" s="33">
        <v>0.186</v>
      </c>
      <c r="F201" s="33">
        <f>SCE_Ds[[#This Row],[With Margins ($)]]-SCE_Ds[[#This Row],[ without Margins ( $)]]</f>
        <v>0</v>
      </c>
      <c r="G201" s="11" t="str">
        <f>IF(E200&lt;0.5,"Low", "High")</f>
        <v>Low</v>
      </c>
      <c r="H201" s="9">
        <f>SCE_Ds[[#This Row],[Margins ($)]]/SCE_Ds[[#This Row],[With Margins ($)]]</f>
        <v>0</v>
      </c>
    </row>
    <row r="202" spans="1:8" x14ac:dyDescent="0.3">
      <c r="A202">
        <v>561920</v>
      </c>
      <c r="B202" t="s">
        <v>916</v>
      </c>
      <c r="C202" s="33">
        <v>0.127</v>
      </c>
      <c r="D202" s="33">
        <v>0</v>
      </c>
      <c r="E202" s="33">
        <v>0.127</v>
      </c>
      <c r="F202" s="33">
        <f>SCE_Ds[[#This Row],[With Margins ($)]]-SCE_Ds[[#This Row],[ without Margins ( $)]]</f>
        <v>0</v>
      </c>
      <c r="G202" s="11" t="str">
        <f>IF(E201&lt;0.5,"Low", "High")</f>
        <v>Low</v>
      </c>
      <c r="H202" s="9">
        <f>SCE_Ds[[#This Row],[Margins ($)]]/SCE_Ds[[#This Row],[With Margins ($)]]</f>
        <v>0</v>
      </c>
    </row>
    <row r="203" spans="1:8" x14ac:dyDescent="0.3">
      <c r="A203">
        <v>561591</v>
      </c>
      <c r="B203" t="s">
        <v>903</v>
      </c>
      <c r="C203" s="33">
        <v>8.7999999999999995E-2</v>
      </c>
      <c r="D203" s="33">
        <v>0</v>
      </c>
      <c r="E203" s="33">
        <v>8.7999999999999995E-2</v>
      </c>
      <c r="F203" s="33">
        <f>SCE_Ds[[#This Row],[With Margins ($)]]-SCE_Ds[[#This Row],[ without Margins ( $)]]</f>
        <v>0</v>
      </c>
      <c r="G203" s="11" t="str">
        <f>IF(E202&lt;0.5,"Low", "High")</f>
        <v>Low</v>
      </c>
      <c r="H203" s="9">
        <f>SCE_Ds[[#This Row],[Margins ($)]]/SCE_Ds[[#This Row],[With Margins ($)]]</f>
        <v>0</v>
      </c>
    </row>
    <row r="204" spans="1:8" x14ac:dyDescent="0.3">
      <c r="A204">
        <v>333922</v>
      </c>
      <c r="B204" t="s">
        <v>410</v>
      </c>
      <c r="C204" s="33">
        <v>0.23400000000000001</v>
      </c>
      <c r="D204" s="33">
        <v>2.1999999999999999E-2</v>
      </c>
      <c r="E204" s="33">
        <v>0.25600000000000001</v>
      </c>
      <c r="F204" s="33">
        <f>SCE_Ds[[#This Row],[With Margins ($)]]-SCE_Ds[[#This Row],[ without Margins ( $)]]</f>
        <v>2.1999999999999992E-2</v>
      </c>
      <c r="G204" s="11" t="str">
        <f>IF(E203&lt;0.5,"Low", "High")</f>
        <v>Low</v>
      </c>
      <c r="H204" s="9">
        <f>SCE_Ds[[#This Row],[Margins ($)]]/SCE_Ds[[#This Row],[With Margins ($)]]</f>
        <v>8.59375E-2</v>
      </c>
    </row>
    <row r="205" spans="1:8" x14ac:dyDescent="0.3">
      <c r="A205">
        <v>311821</v>
      </c>
      <c r="B205" t="s">
        <v>181</v>
      </c>
      <c r="C205" s="33">
        <v>0.31</v>
      </c>
      <c r="D205" s="33">
        <v>4.7E-2</v>
      </c>
      <c r="E205" s="33">
        <v>0.35599999999999998</v>
      </c>
      <c r="F205" s="33">
        <f>SCE_Ds[[#This Row],[With Margins ($)]]-SCE_Ds[[#This Row],[ without Margins ( $)]]</f>
        <v>4.5999999999999985E-2</v>
      </c>
      <c r="G205" s="11" t="str">
        <f>IF(E204&lt;0.5,"Low", "High")</f>
        <v>Low</v>
      </c>
      <c r="H205" s="9">
        <f>SCE_Ds[[#This Row],[Margins ($)]]/SCE_Ds[[#This Row],[With Margins ($)]]</f>
        <v>0.13202247191011238</v>
      </c>
    </row>
    <row r="206" spans="1:8" x14ac:dyDescent="0.3">
      <c r="A206">
        <v>331420</v>
      </c>
      <c r="B206" t="s">
        <v>332</v>
      </c>
      <c r="C206" s="33">
        <v>0.316</v>
      </c>
      <c r="D206" s="33">
        <v>1.9E-2</v>
      </c>
      <c r="E206" s="33">
        <v>0.33400000000000002</v>
      </c>
      <c r="F206" s="33">
        <f>SCE_Ds[[#This Row],[With Margins ($)]]-SCE_Ds[[#This Row],[ without Margins ( $)]]</f>
        <v>1.8000000000000016E-2</v>
      </c>
      <c r="G206" s="11" t="str">
        <f>IF(E205&lt;0.5,"Low", "High")</f>
        <v>Low</v>
      </c>
      <c r="H206" s="9">
        <f>SCE_Ds[[#This Row],[Margins ($)]]/SCE_Ds[[#This Row],[With Margins ($)]]</f>
        <v>5.6886227544910177E-2</v>
      </c>
    </row>
    <row r="207" spans="1:8" x14ac:dyDescent="0.3">
      <c r="A207">
        <v>212230</v>
      </c>
      <c r="B207" t="s">
        <v>83</v>
      </c>
      <c r="C207" s="33">
        <v>0.27</v>
      </c>
      <c r="D207" s="34">
        <v>5.2999999999999999E-2</v>
      </c>
      <c r="E207" s="33">
        <v>0.32400000000000001</v>
      </c>
      <c r="F207" s="33">
        <f>SCE_Ds[[#This Row],[With Margins ($)]]-SCE_Ds[[#This Row],[ without Margins ( $)]]</f>
        <v>5.3999999999999992E-2</v>
      </c>
      <c r="G207" s="11" t="str">
        <f>IF(E206&lt;0.5,"Low", "High")</f>
        <v>Low</v>
      </c>
      <c r="H207" s="9">
        <f>SCE_Ds[[#This Row],[Margins ($)]]/SCE_Ds[[#This Row],[With Margins ($)]]</f>
        <v>0.16358024691358022</v>
      </c>
    </row>
    <row r="208" spans="1:8" x14ac:dyDescent="0.3">
      <c r="A208">
        <v>111150</v>
      </c>
      <c r="B208" t="s">
        <v>12</v>
      </c>
      <c r="C208" s="33">
        <v>0.80900000000000005</v>
      </c>
      <c r="D208" s="34">
        <v>0.04</v>
      </c>
      <c r="E208" s="33">
        <v>0.84799999999999998</v>
      </c>
      <c r="F208" s="33">
        <f>SCE_Ds[[#This Row],[With Margins ($)]]-SCE_Ds[[#This Row],[ without Margins ( $)]]</f>
        <v>3.8999999999999924E-2</v>
      </c>
      <c r="G208" s="11" t="str">
        <f>IF(E207&lt;0.5,"Low", "High")</f>
        <v>Low</v>
      </c>
      <c r="H208" s="9">
        <f>SCE_Ds[[#This Row],[Margins ($)]]/SCE_Ds[[#This Row],[With Margins ($)]]</f>
        <v>4.716981132075472E-2</v>
      </c>
    </row>
    <row r="209" spans="1:8" x14ac:dyDescent="0.3">
      <c r="A209">
        <v>551114</v>
      </c>
      <c r="B209" t="s">
        <v>884</v>
      </c>
      <c r="C209" s="33">
        <v>8.4000000000000005E-2</v>
      </c>
      <c r="D209" s="33">
        <v>0</v>
      </c>
      <c r="E209" s="33">
        <v>8.4000000000000005E-2</v>
      </c>
      <c r="F209" s="33">
        <f>SCE_Ds[[#This Row],[With Margins ($)]]-SCE_Ds[[#This Row],[ without Margins ( $)]]</f>
        <v>0</v>
      </c>
      <c r="G209" s="11" t="str">
        <f>IF(E208&lt;0.5,"Low", "High")</f>
        <v>High</v>
      </c>
      <c r="H209" s="9">
        <f>SCE_Ds[[#This Row],[Margins ($)]]/SCE_Ds[[#This Row],[With Margins ($)]]</f>
        <v>0</v>
      </c>
    </row>
    <row r="210" spans="1:8" x14ac:dyDescent="0.3">
      <c r="A210">
        <v>322211</v>
      </c>
      <c r="B210" t="s">
        <v>242</v>
      </c>
      <c r="C210" s="33">
        <v>0.44900000000000001</v>
      </c>
      <c r="D210" s="34">
        <v>0.03</v>
      </c>
      <c r="E210" s="33">
        <v>0.47899999999999998</v>
      </c>
      <c r="F210" s="33">
        <f>SCE_Ds[[#This Row],[With Margins ($)]]-SCE_Ds[[#This Row],[ without Margins ( $)]]</f>
        <v>2.9999999999999971E-2</v>
      </c>
      <c r="G210" s="11" t="str">
        <f>IF(E209&lt;0.5,"Low", "High")</f>
        <v>Low</v>
      </c>
      <c r="H210" s="9">
        <f>SCE_Ds[[#This Row],[Margins ($)]]/SCE_Ds[[#This Row],[With Margins ($)]]</f>
        <v>6.2630480167014613E-2</v>
      </c>
    </row>
    <row r="211" spans="1:8" x14ac:dyDescent="0.3">
      <c r="A211">
        <v>446120</v>
      </c>
      <c r="B211" t="s">
        <v>629</v>
      </c>
      <c r="C211" s="33">
        <v>0.13</v>
      </c>
      <c r="D211" s="33">
        <v>0</v>
      </c>
      <c r="E211" s="33">
        <v>0.13</v>
      </c>
      <c r="F211" s="33">
        <f>SCE_Ds[[#This Row],[With Margins ($)]]-SCE_Ds[[#This Row],[ without Margins ( $)]]</f>
        <v>0</v>
      </c>
      <c r="G211" s="11" t="str">
        <f>IF(E210&lt;0.5,"Low", "High")</f>
        <v>Low</v>
      </c>
      <c r="H211" s="9">
        <f>SCE_Ds[[#This Row],[Margins ($)]]/SCE_Ds[[#This Row],[With Margins ($)]]</f>
        <v>0</v>
      </c>
    </row>
    <row r="212" spans="1:8" x14ac:dyDescent="0.3">
      <c r="A212">
        <v>611511</v>
      </c>
      <c r="B212" t="s">
        <v>937</v>
      </c>
      <c r="C212" s="33">
        <v>0.108</v>
      </c>
      <c r="D212" s="33">
        <v>0</v>
      </c>
      <c r="E212" s="33">
        <v>0.108</v>
      </c>
      <c r="F212" s="33">
        <f>SCE_Ds[[#This Row],[With Margins ($)]]-SCE_Ds[[#This Row],[ without Margins ( $)]]</f>
        <v>0</v>
      </c>
      <c r="G212" s="11" t="str">
        <f>IF(E211&lt;0.5,"Low", "High")</f>
        <v>Low</v>
      </c>
      <c r="H212" s="9">
        <f>SCE_Ds[[#This Row],[Margins ($)]]/SCE_Ds[[#This Row],[With Margins ($)]]</f>
        <v>0</v>
      </c>
    </row>
    <row r="213" spans="1:8" x14ac:dyDescent="0.3">
      <c r="A213">
        <v>111920</v>
      </c>
      <c r="B213" t="s">
        <v>32</v>
      </c>
      <c r="C213" s="33">
        <v>0.70299999999999996</v>
      </c>
      <c r="D213" s="34">
        <v>3.6999999999999998E-2</v>
      </c>
      <c r="E213" s="33">
        <v>0.74</v>
      </c>
      <c r="F213" s="33">
        <f>SCE_Ds[[#This Row],[With Margins ($)]]-SCE_Ds[[#This Row],[ without Margins ( $)]]</f>
        <v>3.7000000000000033E-2</v>
      </c>
      <c r="G213" s="11" t="str">
        <f>IF(E212&lt;0.5,"Low", "High")</f>
        <v>Low</v>
      </c>
      <c r="H213" s="9">
        <f>SCE_Ds[[#This Row],[Margins ($)]]/SCE_Ds[[#This Row],[With Margins ($)]]</f>
        <v>4.9999999999999996E-2</v>
      </c>
    </row>
    <row r="214" spans="1:8" x14ac:dyDescent="0.3">
      <c r="A214">
        <v>115111</v>
      </c>
      <c r="B214" t="s">
        <v>66</v>
      </c>
      <c r="C214" s="33">
        <v>0.38400000000000001</v>
      </c>
      <c r="D214" s="33">
        <v>0</v>
      </c>
      <c r="E214" s="33">
        <v>0.38400000000000001</v>
      </c>
      <c r="F214" s="33">
        <f>SCE_Ds[[#This Row],[With Margins ($)]]-SCE_Ds[[#This Row],[ without Margins ( $)]]</f>
        <v>0</v>
      </c>
      <c r="G214" s="11" t="str">
        <f>IF(E213&lt;0.5,"Low", "High")</f>
        <v>High</v>
      </c>
      <c r="H214" s="9">
        <f>SCE_Ds[[#This Row],[Margins ($)]]/SCE_Ds[[#This Row],[With Margins ($)]]</f>
        <v>0</v>
      </c>
    </row>
    <row r="215" spans="1:8" x14ac:dyDescent="0.3">
      <c r="A215">
        <v>492110</v>
      </c>
      <c r="B215" t="s">
        <v>718</v>
      </c>
      <c r="C215" s="33">
        <v>0.30299999999999999</v>
      </c>
      <c r="D215" s="33">
        <v>0</v>
      </c>
      <c r="E215" s="33">
        <v>0.30299999999999999</v>
      </c>
      <c r="F215" s="33">
        <f>SCE_Ds[[#This Row],[With Margins ($)]]-SCE_Ds[[#This Row],[ without Margins ( $)]]</f>
        <v>0</v>
      </c>
      <c r="G215" s="11" t="str">
        <f>IF(E214&lt;0.5,"Low", "High")</f>
        <v>Low</v>
      </c>
      <c r="H215" s="9">
        <f>SCE_Ds[[#This Row],[Margins ($)]]/SCE_Ds[[#This Row],[With Margins ($)]]</f>
        <v>0</v>
      </c>
    </row>
    <row r="216" spans="1:8" x14ac:dyDescent="0.3">
      <c r="A216">
        <v>561492</v>
      </c>
      <c r="B216" t="s">
        <v>899</v>
      </c>
      <c r="C216" s="33">
        <v>0.111</v>
      </c>
      <c r="D216" s="33">
        <v>0</v>
      </c>
      <c r="E216" s="33">
        <v>0.111</v>
      </c>
      <c r="F216" s="33">
        <f>SCE_Ds[[#This Row],[With Margins ($)]]-SCE_Ds[[#This Row],[ without Margins ( $)]]</f>
        <v>0</v>
      </c>
      <c r="G216" s="11" t="str">
        <f>IF(E215&lt;0.5,"Low", "High")</f>
        <v>Low</v>
      </c>
      <c r="H216" s="9">
        <f>SCE_Ds[[#This Row],[Margins ($)]]/SCE_Ds[[#This Row],[With Margins ($)]]</f>
        <v>0</v>
      </c>
    </row>
    <row r="217" spans="1:8" x14ac:dyDescent="0.3">
      <c r="A217">
        <v>311512</v>
      </c>
      <c r="B217" t="s">
        <v>168</v>
      </c>
      <c r="C217" s="33">
        <v>0.76600000000000001</v>
      </c>
      <c r="D217" s="34">
        <v>3.6999999999999998E-2</v>
      </c>
      <c r="E217" s="33">
        <v>0.80300000000000005</v>
      </c>
      <c r="F217" s="33">
        <f>SCE_Ds[[#This Row],[With Margins ($)]]-SCE_Ds[[#This Row],[ without Margins ( $)]]</f>
        <v>3.7000000000000033E-2</v>
      </c>
      <c r="G217" s="11" t="str">
        <f>IF(E216&lt;0.5,"Low", "High")</f>
        <v>Low</v>
      </c>
      <c r="H217" s="9">
        <f>SCE_Ds[[#This Row],[Margins ($)]]/SCE_Ds[[#This Row],[With Margins ($)]]</f>
        <v>4.6077210460772101E-2</v>
      </c>
    </row>
    <row r="218" spans="1:8" x14ac:dyDescent="0.3">
      <c r="A218">
        <v>561450</v>
      </c>
      <c r="B218" t="s">
        <v>897</v>
      </c>
      <c r="C218" s="33">
        <v>0.111</v>
      </c>
      <c r="D218" s="33">
        <v>0</v>
      </c>
      <c r="E218" s="33">
        <v>0.111</v>
      </c>
      <c r="F218" s="33">
        <f>SCE_Ds[[#This Row],[With Margins ($)]]-SCE_Ds[[#This Row],[ without Margins ( $)]]</f>
        <v>0</v>
      </c>
      <c r="G218" s="11" t="str">
        <f>IF(E217&lt;0.5,"Low", "High")</f>
        <v>High</v>
      </c>
      <c r="H218" s="9">
        <f>SCE_Ds[[#This Row],[Margins ($)]]/SCE_Ds[[#This Row],[With Margins ($)]]</f>
        <v>0</v>
      </c>
    </row>
    <row r="219" spans="1:8" x14ac:dyDescent="0.3">
      <c r="A219">
        <v>522210</v>
      </c>
      <c r="B219" t="s">
        <v>764</v>
      </c>
      <c r="C219" s="33">
        <v>7.1999999999999995E-2</v>
      </c>
      <c r="D219" s="33">
        <v>0</v>
      </c>
      <c r="E219" s="33">
        <v>7.1999999999999995E-2</v>
      </c>
      <c r="F219" s="33">
        <f>SCE_Ds[[#This Row],[With Margins ($)]]-SCE_Ds[[#This Row],[ without Margins ( $)]]</f>
        <v>0</v>
      </c>
      <c r="G219" s="11" t="str">
        <f>IF(E218&lt;0.5,"Low", "High")</f>
        <v>Low</v>
      </c>
      <c r="H219" s="9">
        <f>SCE_Ds[[#This Row],[Margins ($)]]/SCE_Ds[[#This Row],[With Margins ($)]]</f>
        <v>0</v>
      </c>
    </row>
    <row r="220" spans="1:8" x14ac:dyDescent="0.3">
      <c r="A220">
        <v>522130</v>
      </c>
      <c r="B220" t="s">
        <v>762</v>
      </c>
      <c r="C220" s="33">
        <v>5.8999999999999997E-2</v>
      </c>
      <c r="D220" s="33">
        <v>0</v>
      </c>
      <c r="E220" s="33">
        <v>5.8999999999999997E-2</v>
      </c>
      <c r="F220" s="33">
        <f>SCE_Ds[[#This Row],[With Margins ($)]]-SCE_Ds[[#This Row],[ without Margins ( $)]]</f>
        <v>0</v>
      </c>
      <c r="G220" s="11" t="str">
        <f>IF(E219&lt;0.5,"Low", "High")</f>
        <v>Low</v>
      </c>
      <c r="H220" s="9">
        <f>SCE_Ds[[#This Row],[Margins ($)]]/SCE_Ds[[#This Row],[With Margins ($)]]</f>
        <v>0</v>
      </c>
    </row>
    <row r="221" spans="1:8" x14ac:dyDescent="0.3">
      <c r="A221">
        <v>115113</v>
      </c>
      <c r="B221" t="s">
        <v>68</v>
      </c>
      <c r="C221" s="33">
        <v>0.38400000000000001</v>
      </c>
      <c r="D221" s="33">
        <v>0</v>
      </c>
      <c r="E221" s="33">
        <v>0.38400000000000001</v>
      </c>
      <c r="F221" s="33">
        <f>SCE_Ds[[#This Row],[With Margins ($)]]-SCE_Ds[[#This Row],[ without Margins ( $)]]</f>
        <v>0</v>
      </c>
      <c r="G221" s="11" t="str">
        <f>IF(E220&lt;0.5,"Low", "High")</f>
        <v>Low</v>
      </c>
      <c r="H221" s="9">
        <f>SCE_Ds[[#This Row],[Margins ($)]]/SCE_Ds[[#This Row],[With Margins ($)]]</f>
        <v>0</v>
      </c>
    </row>
    <row r="222" spans="1:8" x14ac:dyDescent="0.3">
      <c r="A222">
        <v>211120</v>
      </c>
      <c r="B222" t="s">
        <v>74</v>
      </c>
      <c r="C222" s="33">
        <v>0.377</v>
      </c>
      <c r="D222" s="33">
        <v>2.8000000000000001E-2</v>
      </c>
      <c r="E222" s="33">
        <v>0.40500000000000003</v>
      </c>
      <c r="F222" s="33">
        <f>SCE_Ds[[#This Row],[With Margins ($)]]-SCE_Ds[[#This Row],[ without Margins ( $)]]</f>
        <v>2.8000000000000025E-2</v>
      </c>
      <c r="G222" s="11" t="str">
        <f>IF(E221&lt;0.5,"Low", "High")</f>
        <v>Low</v>
      </c>
      <c r="H222" s="9">
        <f>SCE_Ds[[#This Row],[Margins ($)]]/SCE_Ds[[#This Row],[With Margins ($)]]</f>
        <v>6.9135802469135796E-2</v>
      </c>
    </row>
    <row r="223" spans="1:8" x14ac:dyDescent="0.3">
      <c r="A223">
        <v>212313</v>
      </c>
      <c r="B223" t="s">
        <v>88</v>
      </c>
      <c r="C223" s="33">
        <v>0.193</v>
      </c>
      <c r="D223" s="33">
        <v>8.5999999999999993E-2</v>
      </c>
      <c r="E223" s="33">
        <v>0.27900000000000003</v>
      </c>
      <c r="F223" s="33">
        <f>SCE_Ds[[#This Row],[With Margins ($)]]-SCE_Ds[[#This Row],[ without Margins ( $)]]</f>
        <v>8.6000000000000021E-2</v>
      </c>
      <c r="G223" s="11" t="str">
        <f>IF(E222&lt;0.5,"Low", "High")</f>
        <v>Low</v>
      </c>
      <c r="H223" s="9">
        <f>SCE_Ds[[#This Row],[Margins ($)]]/SCE_Ds[[#This Row],[With Margins ($)]]</f>
        <v>0.30824372759856628</v>
      </c>
    </row>
    <row r="224" spans="1:8" x14ac:dyDescent="0.3">
      <c r="A224">
        <v>212312</v>
      </c>
      <c r="B224" t="s">
        <v>87</v>
      </c>
      <c r="C224" s="33">
        <v>0.193</v>
      </c>
      <c r="D224" s="33">
        <v>8.5999999999999993E-2</v>
      </c>
      <c r="E224" s="33">
        <v>0.27900000000000003</v>
      </c>
      <c r="F224" s="33">
        <f>SCE_Ds[[#This Row],[With Margins ($)]]-SCE_Ds[[#This Row],[ without Margins ( $)]]</f>
        <v>8.6000000000000021E-2</v>
      </c>
      <c r="G224" s="11" t="str">
        <f>IF(E223&lt;0.5,"Low", "High")</f>
        <v>Low</v>
      </c>
      <c r="H224" s="9">
        <f>SCE_Ds[[#This Row],[Margins ($)]]/SCE_Ds[[#This Row],[With Margins ($)]]</f>
        <v>0.30824372759856628</v>
      </c>
    </row>
    <row r="225" spans="1:8" x14ac:dyDescent="0.3">
      <c r="A225">
        <v>335931</v>
      </c>
      <c r="B225" t="s">
        <v>463</v>
      </c>
      <c r="C225" s="33">
        <v>0.10199999999999999</v>
      </c>
      <c r="D225" s="33">
        <v>2.5999999999999999E-2</v>
      </c>
      <c r="E225" s="33">
        <v>0.127</v>
      </c>
      <c r="F225" s="33">
        <f>SCE_Ds[[#This Row],[With Margins ($)]]-SCE_Ds[[#This Row],[ without Margins ( $)]]</f>
        <v>2.5000000000000008E-2</v>
      </c>
      <c r="G225" s="11" t="str">
        <f>IF(E224&lt;0.5,"Low", "High")</f>
        <v>Low</v>
      </c>
      <c r="H225" s="9">
        <f>SCE_Ds[[#This Row],[Margins ($)]]/SCE_Ds[[#This Row],[With Margins ($)]]</f>
        <v>0.20472440944881889</v>
      </c>
    </row>
    <row r="226" spans="1:8" x14ac:dyDescent="0.3">
      <c r="A226">
        <v>314120</v>
      </c>
      <c r="B226" t="s">
        <v>208</v>
      </c>
      <c r="C226" s="33">
        <v>0.20599999999999999</v>
      </c>
      <c r="D226" s="33">
        <v>6.0999999999999999E-2</v>
      </c>
      <c r="E226" s="33">
        <v>0.26700000000000002</v>
      </c>
      <c r="F226" s="33">
        <f>SCE_Ds[[#This Row],[With Margins ($)]]-SCE_Ds[[#This Row],[ without Margins ( $)]]</f>
        <v>6.1000000000000026E-2</v>
      </c>
      <c r="G226" s="11" t="str">
        <f>IF(E225&lt;0.5,"Low", "High")</f>
        <v>Low</v>
      </c>
      <c r="H226" s="9">
        <f>SCE_Ds[[#This Row],[Margins ($)]]/SCE_Ds[[#This Row],[With Margins ($)]]</f>
        <v>0.22846441947565541</v>
      </c>
    </row>
    <row r="227" spans="1:8" x14ac:dyDescent="0.3">
      <c r="A227">
        <v>337212</v>
      </c>
      <c r="B227" t="s">
        <v>505</v>
      </c>
      <c r="C227" s="33">
        <v>0.184</v>
      </c>
      <c r="D227" s="33">
        <v>5.6000000000000001E-2</v>
      </c>
      <c r="E227" s="33">
        <v>0.24</v>
      </c>
      <c r="F227" s="33">
        <f>SCE_Ds[[#This Row],[With Margins ($)]]-SCE_Ds[[#This Row],[ without Margins ( $)]]</f>
        <v>5.5999999999999994E-2</v>
      </c>
      <c r="G227" s="11" t="str">
        <f>IF(E226&lt;0.5,"Low", "High")</f>
        <v>Low</v>
      </c>
      <c r="H227" s="9">
        <f>SCE_Ds[[#This Row],[Margins ($)]]/SCE_Ds[[#This Row],[With Margins ($)]]</f>
        <v>0.23333333333333334</v>
      </c>
    </row>
    <row r="228" spans="1:8" x14ac:dyDescent="0.3">
      <c r="A228">
        <v>325991</v>
      </c>
      <c r="B228" t="s">
        <v>286</v>
      </c>
      <c r="C228" s="33">
        <v>0.47199999999999998</v>
      </c>
      <c r="D228" s="34">
        <v>2.8000000000000001E-2</v>
      </c>
      <c r="E228" s="33">
        <v>0.5</v>
      </c>
      <c r="F228" s="33">
        <f>SCE_Ds[[#This Row],[With Margins ($)]]-SCE_Ds[[#This Row],[ without Margins ( $)]]</f>
        <v>2.8000000000000025E-2</v>
      </c>
      <c r="G228" s="11" t="str">
        <f>IF(E227&lt;0.5,"Low", "High")</f>
        <v>Low</v>
      </c>
      <c r="H228" s="9">
        <f>SCE_Ds[[#This Row],[Margins ($)]]/SCE_Ds[[#This Row],[With Margins ($)]]</f>
        <v>5.6000000000000001E-2</v>
      </c>
    </row>
    <row r="229" spans="1:8" x14ac:dyDescent="0.3">
      <c r="A229">
        <v>541511</v>
      </c>
      <c r="B229" t="s">
        <v>850</v>
      </c>
      <c r="C229" s="33">
        <v>8.4000000000000005E-2</v>
      </c>
      <c r="D229" s="33">
        <v>0</v>
      </c>
      <c r="E229" s="33">
        <v>8.4000000000000005E-2</v>
      </c>
      <c r="F229" s="33">
        <f>SCE_Ds[[#This Row],[With Margins ($)]]-SCE_Ds[[#This Row],[ without Margins ( $)]]</f>
        <v>0</v>
      </c>
      <c r="G229" s="11" t="str">
        <f>IF(E228&lt;0.5,"Low", "High")</f>
        <v>High</v>
      </c>
      <c r="H229" s="9">
        <f>SCE_Ds[[#This Row],[Margins ($)]]/SCE_Ds[[#This Row],[With Margins ($)]]</f>
        <v>0</v>
      </c>
    </row>
    <row r="230" spans="1:8" x14ac:dyDescent="0.3">
      <c r="A230">
        <v>332114</v>
      </c>
      <c r="B230" t="s">
        <v>344</v>
      </c>
      <c r="C230" s="33">
        <v>0.34899999999999998</v>
      </c>
      <c r="D230" s="33">
        <v>1.2999999999999999E-2</v>
      </c>
      <c r="E230" s="33">
        <v>0.36199999999999999</v>
      </c>
      <c r="F230" s="33">
        <f>SCE_Ds[[#This Row],[With Margins ($)]]-SCE_Ds[[#This Row],[ without Margins ( $)]]</f>
        <v>1.3000000000000012E-2</v>
      </c>
      <c r="G230" s="11" t="str">
        <f>IF(E229&lt;0.5,"Low", "High")</f>
        <v>Low</v>
      </c>
      <c r="H230" s="9">
        <f>SCE_Ds[[#This Row],[Margins ($)]]/SCE_Ds[[#This Row],[With Margins ($)]]</f>
        <v>3.591160220994475E-2</v>
      </c>
    </row>
    <row r="231" spans="1:8" x14ac:dyDescent="0.3">
      <c r="A231">
        <v>315210</v>
      </c>
      <c r="B231" t="s">
        <v>214</v>
      </c>
      <c r="C231" s="33">
        <v>0.06</v>
      </c>
      <c r="D231" s="33">
        <v>0.06</v>
      </c>
      <c r="E231" s="33">
        <v>0.12</v>
      </c>
      <c r="F231" s="33">
        <f>SCE_Ds[[#This Row],[With Margins ($)]]-SCE_Ds[[#This Row],[ without Margins ( $)]]</f>
        <v>0.06</v>
      </c>
      <c r="G231" s="11" t="str">
        <f>IF(E230&lt;0.5,"Low", "High")</f>
        <v>Low</v>
      </c>
      <c r="H231" s="9">
        <f>SCE_Ds[[#This Row],[Margins ($)]]/SCE_Ds[[#This Row],[With Margins ($)]]</f>
        <v>0.5</v>
      </c>
    </row>
    <row r="232" spans="1:8" x14ac:dyDescent="0.3">
      <c r="A232">
        <v>321912</v>
      </c>
      <c r="B232" t="s">
        <v>231</v>
      </c>
      <c r="C232" s="33">
        <v>0.122</v>
      </c>
      <c r="D232" s="33">
        <v>3.1E-2</v>
      </c>
      <c r="E232" s="33">
        <v>0.154</v>
      </c>
      <c r="F232" s="33">
        <f>SCE_Ds[[#This Row],[With Margins ($)]]-SCE_Ds[[#This Row],[ without Margins ( $)]]</f>
        <v>3.2000000000000001E-2</v>
      </c>
      <c r="G232" s="11" t="str">
        <f>IF(E231&lt;0.5,"Low", "High")</f>
        <v>Low</v>
      </c>
      <c r="H232" s="9">
        <f>SCE_Ds[[#This Row],[Margins ($)]]/SCE_Ds[[#This Row],[With Margins ($)]]</f>
        <v>0.20129870129870131</v>
      </c>
    </row>
    <row r="233" spans="1:8" x14ac:dyDescent="0.3">
      <c r="A233">
        <v>327991</v>
      </c>
      <c r="B233" t="s">
        <v>319</v>
      </c>
      <c r="C233" s="33">
        <v>0.14799999999999999</v>
      </c>
      <c r="D233" s="33">
        <v>4.7E-2</v>
      </c>
      <c r="E233" s="33">
        <v>0.19500000000000001</v>
      </c>
      <c r="F233" s="33">
        <f>SCE_Ds[[#This Row],[With Margins ($)]]-SCE_Ds[[#This Row],[ without Margins ( $)]]</f>
        <v>4.7000000000000014E-2</v>
      </c>
      <c r="G233" s="11" t="str">
        <f>IF(E232&lt;0.5,"Low", "High")</f>
        <v>Low</v>
      </c>
      <c r="H233" s="9">
        <f>SCE_Ds[[#This Row],[Margins ($)]]/SCE_Ds[[#This Row],[With Margins ($)]]</f>
        <v>0.24102564102564103</v>
      </c>
    </row>
    <row r="234" spans="1:8" x14ac:dyDescent="0.3">
      <c r="A234">
        <v>333515</v>
      </c>
      <c r="B234" t="s">
        <v>399</v>
      </c>
      <c r="C234" s="33">
        <v>0.184</v>
      </c>
      <c r="D234" s="33">
        <v>2.3E-2</v>
      </c>
      <c r="E234" s="33">
        <v>0.20699999999999999</v>
      </c>
      <c r="F234" s="33">
        <f>SCE_Ds[[#This Row],[With Margins ($)]]-SCE_Ds[[#This Row],[ without Margins ( $)]]</f>
        <v>2.2999999999999993E-2</v>
      </c>
      <c r="G234" s="11" t="str">
        <f>IF(E233&lt;0.5,"Low", "High")</f>
        <v>Low</v>
      </c>
      <c r="H234" s="9">
        <f>SCE_Ds[[#This Row],[Margins ($)]]/SCE_Ds[[#This Row],[With Margins ($)]]</f>
        <v>0.11111111111111112</v>
      </c>
    </row>
    <row r="235" spans="1:8" x14ac:dyDescent="0.3">
      <c r="A235">
        <v>325194</v>
      </c>
      <c r="B235" t="s">
        <v>263</v>
      </c>
      <c r="C235" s="33">
        <v>1.1659999999999999</v>
      </c>
      <c r="D235" s="34">
        <v>1.7999999999999999E-2</v>
      </c>
      <c r="E235" s="33">
        <v>1.1839999999999999</v>
      </c>
      <c r="F235" s="33">
        <f>SCE_Ds[[#This Row],[With Margins ($)]]-SCE_Ds[[#This Row],[ without Margins ( $)]]</f>
        <v>1.8000000000000016E-2</v>
      </c>
      <c r="G235" s="11" t="str">
        <f>IF(E234&lt;0.5,"Low", "High")</f>
        <v>Low</v>
      </c>
      <c r="H235" s="9">
        <f>SCE_Ds[[#This Row],[Margins ($)]]/SCE_Ds[[#This Row],[With Margins ($)]]</f>
        <v>1.5202702702702702E-2</v>
      </c>
    </row>
    <row r="236" spans="1:8" x14ac:dyDescent="0.3">
      <c r="A236">
        <v>112120</v>
      </c>
      <c r="B236" t="s">
        <v>41</v>
      </c>
      <c r="C236" s="33">
        <v>1.6819999999999999</v>
      </c>
      <c r="D236" s="34">
        <v>4.2000000000000003E-2</v>
      </c>
      <c r="E236" s="33">
        <v>1.724</v>
      </c>
      <c r="F236" s="33">
        <f>SCE_Ds[[#This Row],[With Margins ($)]]-SCE_Ds[[#This Row],[ without Margins ( $)]]</f>
        <v>4.2000000000000037E-2</v>
      </c>
      <c r="G236" s="11" t="str">
        <f>IF(E235&lt;0.5,"Low", "High")</f>
        <v>High</v>
      </c>
      <c r="H236" s="9">
        <f>SCE_Ds[[#This Row],[Margins ($)]]/SCE_Ds[[#This Row],[With Margins ($)]]</f>
        <v>2.4361948955916476E-2</v>
      </c>
    </row>
    <row r="237" spans="1:8" x14ac:dyDescent="0.3">
      <c r="A237">
        <v>424430</v>
      </c>
      <c r="B237" t="s">
        <v>575</v>
      </c>
      <c r="C237" s="33">
        <v>0.159</v>
      </c>
      <c r="D237" s="33">
        <v>0</v>
      </c>
      <c r="E237" s="33">
        <v>0.159</v>
      </c>
      <c r="F237" s="33">
        <f>SCE_Ds[[#This Row],[With Margins ($)]]-SCE_Ds[[#This Row],[ without Margins ( $)]]</f>
        <v>0</v>
      </c>
      <c r="G237" s="11" t="str">
        <f>IF(E236&lt;0.5,"Low", "High")</f>
        <v>High</v>
      </c>
      <c r="H237" s="9">
        <f>SCE_Ds[[#This Row],[Margins ($)]]/SCE_Ds[[#This Row],[With Margins ($)]]</f>
        <v>0</v>
      </c>
    </row>
    <row r="238" spans="1:8" x14ac:dyDescent="0.3">
      <c r="A238">
        <v>711120</v>
      </c>
      <c r="B238" t="s">
        <v>991</v>
      </c>
      <c r="C238" s="33">
        <v>8.5999999999999993E-2</v>
      </c>
      <c r="D238" s="33">
        <v>0</v>
      </c>
      <c r="E238" s="33">
        <v>8.5999999999999993E-2</v>
      </c>
      <c r="F238" s="33">
        <f>SCE_Ds[[#This Row],[With Margins ($)]]-SCE_Ds[[#This Row],[ without Margins ( $)]]</f>
        <v>0</v>
      </c>
      <c r="G238" s="11" t="str">
        <f>IF(E237&lt;0.5,"Low", "High")</f>
        <v>Low</v>
      </c>
      <c r="H238" s="9">
        <f>SCE_Ds[[#This Row],[Margins ($)]]/SCE_Ds[[#This Row],[With Margins ($)]]</f>
        <v>0</v>
      </c>
    </row>
    <row r="239" spans="1:8" x14ac:dyDescent="0.3">
      <c r="A239">
        <v>518210</v>
      </c>
      <c r="B239" t="s">
        <v>752</v>
      </c>
      <c r="C239" s="33">
        <v>9.2999999999999999E-2</v>
      </c>
      <c r="D239" s="33">
        <v>0</v>
      </c>
      <c r="E239" s="33">
        <v>9.2999999999999999E-2</v>
      </c>
      <c r="F239" s="33">
        <f>SCE_Ds[[#This Row],[With Margins ($)]]-SCE_Ds[[#This Row],[ without Margins ( $)]]</f>
        <v>0</v>
      </c>
      <c r="G239" s="11" t="str">
        <f>IF(E238&lt;0.5,"Low", "High")</f>
        <v>Low</v>
      </c>
      <c r="H239" s="9">
        <f>SCE_Ds[[#This Row],[Margins ($)]]/SCE_Ds[[#This Row],[With Margins ($)]]</f>
        <v>0</v>
      </c>
    </row>
    <row r="240" spans="1:8" x14ac:dyDescent="0.3">
      <c r="A240">
        <v>483111</v>
      </c>
      <c r="B240" t="s">
        <v>673</v>
      </c>
      <c r="C240" s="33">
        <v>0.81599999999999995</v>
      </c>
      <c r="D240" s="33">
        <v>0</v>
      </c>
      <c r="E240" s="33">
        <v>0.81599999999999995</v>
      </c>
      <c r="F240" s="33">
        <f>SCE_Ds[[#This Row],[With Margins ($)]]-SCE_Ds[[#This Row],[ without Margins ( $)]]</f>
        <v>0</v>
      </c>
      <c r="G240" s="11" t="str">
        <f>IF(E239&lt;0.5,"Low", "High")</f>
        <v>Low</v>
      </c>
      <c r="H240" s="9">
        <f>SCE_Ds[[#This Row],[Margins ($)]]/SCE_Ds[[#This Row],[With Margins ($)]]</f>
        <v>0</v>
      </c>
    </row>
    <row r="241" spans="1:8" x14ac:dyDescent="0.3">
      <c r="A241">
        <v>483112</v>
      </c>
      <c r="B241" t="s">
        <v>674</v>
      </c>
      <c r="C241" s="33">
        <v>0.81599999999999995</v>
      </c>
      <c r="D241" s="34">
        <v>0</v>
      </c>
      <c r="E241" s="33">
        <v>0.81599999999999995</v>
      </c>
      <c r="F241" s="33">
        <f>SCE_Ds[[#This Row],[With Margins ($)]]-SCE_Ds[[#This Row],[ without Margins ( $)]]</f>
        <v>0</v>
      </c>
      <c r="G241" s="11" t="str">
        <f>IF(E240&lt;0.5,"Low", "High")</f>
        <v>High</v>
      </c>
      <c r="H241" s="9">
        <f>SCE_Ds[[#This Row],[Margins ($)]]/SCE_Ds[[#This Row],[With Margins ($)]]</f>
        <v>0</v>
      </c>
    </row>
    <row r="242" spans="1:8" x14ac:dyDescent="0.3">
      <c r="A242">
        <v>339114</v>
      </c>
      <c r="B242" t="s">
        <v>512</v>
      </c>
      <c r="C242" s="33">
        <v>0.14299999999999999</v>
      </c>
      <c r="D242" s="33">
        <v>0.03</v>
      </c>
      <c r="E242" s="33">
        <v>0.17399999999999999</v>
      </c>
      <c r="F242" s="33">
        <f>SCE_Ds[[#This Row],[With Margins ($)]]-SCE_Ds[[#This Row],[ without Margins ( $)]]</f>
        <v>3.1E-2</v>
      </c>
      <c r="G242" s="11" t="str">
        <f>IF(E241&lt;0.5,"Low", "High")</f>
        <v>High</v>
      </c>
      <c r="H242" s="9">
        <f>SCE_Ds[[#This Row],[Margins ($)]]/SCE_Ds[[#This Row],[With Margins ($)]]</f>
        <v>0.17241379310344829</v>
      </c>
    </row>
    <row r="243" spans="1:8" x14ac:dyDescent="0.3">
      <c r="A243">
        <v>339116</v>
      </c>
      <c r="B243" t="s">
        <v>514</v>
      </c>
      <c r="C243" s="33">
        <v>8.3000000000000004E-2</v>
      </c>
      <c r="D243" s="33">
        <v>3.4000000000000002E-2</v>
      </c>
      <c r="E243" s="33">
        <v>0.11700000000000001</v>
      </c>
      <c r="F243" s="33">
        <f>SCE_Ds[[#This Row],[With Margins ($)]]-SCE_Ds[[#This Row],[ without Margins ( $)]]</f>
        <v>3.4000000000000002E-2</v>
      </c>
      <c r="G243" s="11" t="str">
        <f>IF(E242&lt;0.5,"Low", "High")</f>
        <v>Low</v>
      </c>
      <c r="H243" s="9">
        <f>SCE_Ds[[#This Row],[Margins ($)]]/SCE_Ds[[#This Row],[With Margins ($)]]</f>
        <v>0.29059829059829062</v>
      </c>
    </row>
    <row r="244" spans="1:8" x14ac:dyDescent="0.3">
      <c r="A244">
        <v>452210</v>
      </c>
      <c r="B244" t="s">
        <v>650</v>
      </c>
      <c r="C244" s="33">
        <v>0.16400000000000001</v>
      </c>
      <c r="D244" s="33">
        <v>0</v>
      </c>
      <c r="E244" s="33">
        <v>0.16400000000000001</v>
      </c>
      <c r="F244" s="33">
        <f>SCE_Ds[[#This Row],[With Margins ($)]]-SCE_Ds[[#This Row],[ without Margins ( $)]]</f>
        <v>0</v>
      </c>
      <c r="G244" s="11" t="str">
        <f>IF(E243&lt;0.5,"Low", "High")</f>
        <v>Low</v>
      </c>
      <c r="H244" s="9">
        <f>SCE_Ds[[#This Row],[Margins ($)]]/SCE_Ds[[#This Row],[With Margins ($)]]</f>
        <v>0</v>
      </c>
    </row>
    <row r="245" spans="1:8" x14ac:dyDescent="0.3">
      <c r="A245">
        <v>621512</v>
      </c>
      <c r="B245" t="s">
        <v>964</v>
      </c>
      <c r="C245" s="33">
        <v>9.1999999999999998E-2</v>
      </c>
      <c r="D245" s="33">
        <v>0</v>
      </c>
      <c r="E245" s="33">
        <v>9.1999999999999998E-2</v>
      </c>
      <c r="F245" s="33">
        <f>SCE_Ds[[#This Row],[With Margins ($)]]-SCE_Ds[[#This Row],[ without Margins ( $)]]</f>
        <v>0</v>
      </c>
      <c r="G245" s="11" t="str">
        <f>IF(E244&lt;0.5,"Low", "High")</f>
        <v>Low</v>
      </c>
      <c r="H245" s="9">
        <f>SCE_Ds[[#This Row],[Margins ($)]]/SCE_Ds[[#This Row],[With Margins ($)]]</f>
        <v>0</v>
      </c>
    </row>
    <row r="246" spans="1:8" x14ac:dyDescent="0.3">
      <c r="A246">
        <v>812191</v>
      </c>
      <c r="B246" t="s">
        <v>1054</v>
      </c>
      <c r="C246" s="33">
        <v>0.125</v>
      </c>
      <c r="D246" s="33">
        <v>0</v>
      </c>
      <c r="E246" s="33">
        <v>0.125</v>
      </c>
      <c r="F246" s="33">
        <f>SCE_Ds[[#This Row],[With Margins ($)]]-SCE_Ds[[#This Row],[ without Margins ( $)]]</f>
        <v>0</v>
      </c>
      <c r="G246" s="11" t="str">
        <f>IF(E245&lt;0.5,"Low", "High")</f>
        <v>Low</v>
      </c>
      <c r="H246" s="9">
        <f>SCE_Ds[[#This Row],[Margins ($)]]/SCE_Ds[[#This Row],[With Margins ($)]]</f>
        <v>0</v>
      </c>
    </row>
    <row r="247" spans="1:8" x14ac:dyDescent="0.3">
      <c r="A247">
        <v>212311</v>
      </c>
      <c r="B247" t="s">
        <v>86</v>
      </c>
      <c r="C247" s="33">
        <v>0.193</v>
      </c>
      <c r="D247" s="34">
        <v>8.5999999999999993E-2</v>
      </c>
      <c r="E247" s="33">
        <v>0.27900000000000003</v>
      </c>
      <c r="F247" s="33">
        <f>SCE_Ds[[#This Row],[With Margins ($)]]-SCE_Ds[[#This Row],[ without Margins ( $)]]</f>
        <v>8.6000000000000021E-2</v>
      </c>
      <c r="G247" s="11" t="str">
        <f>IF(E246&lt;0.5,"Low", "High")</f>
        <v>Low</v>
      </c>
      <c r="H247" s="9">
        <f>SCE_Ds[[#This Row],[Margins ($)]]/SCE_Ds[[#This Row],[With Margins ($)]]</f>
        <v>0.30824372759856628</v>
      </c>
    </row>
    <row r="248" spans="1:8" x14ac:dyDescent="0.3">
      <c r="A248">
        <v>524114</v>
      </c>
      <c r="B248" t="s">
        <v>787</v>
      </c>
      <c r="C248" s="33">
        <v>3.3000000000000002E-2</v>
      </c>
      <c r="D248" s="33">
        <v>0</v>
      </c>
      <c r="E248" s="33">
        <v>3.3000000000000002E-2</v>
      </c>
      <c r="F248" s="33">
        <f>SCE_Ds[[#This Row],[With Margins ($)]]-SCE_Ds[[#This Row],[ without Margins ( $)]]</f>
        <v>0</v>
      </c>
      <c r="G248" s="11" t="str">
        <f>IF(E247&lt;0.5,"Low", "High")</f>
        <v>Low</v>
      </c>
      <c r="H248" s="9">
        <f>SCE_Ds[[#This Row],[Margins ($)]]/SCE_Ds[[#This Row],[With Margins ($)]]</f>
        <v>0</v>
      </c>
    </row>
    <row r="249" spans="1:8" x14ac:dyDescent="0.3">
      <c r="A249">
        <v>524113</v>
      </c>
      <c r="B249" t="s">
        <v>786</v>
      </c>
      <c r="C249" s="33">
        <v>5.0999999999999997E-2</v>
      </c>
      <c r="D249" s="33">
        <v>0</v>
      </c>
      <c r="E249" s="33">
        <v>5.0999999999999997E-2</v>
      </c>
      <c r="F249" s="33">
        <f>SCE_Ds[[#This Row],[With Margins ($)]]-SCE_Ds[[#This Row],[ without Margins ( $)]]</f>
        <v>0</v>
      </c>
      <c r="G249" s="11" t="str">
        <f>IF(E248&lt;0.5,"Low", "High")</f>
        <v>Low</v>
      </c>
      <c r="H249" s="9">
        <f>SCE_Ds[[#This Row],[Margins ($)]]/SCE_Ds[[#This Row],[With Margins ($)]]</f>
        <v>0</v>
      </c>
    </row>
    <row r="250" spans="1:8" x14ac:dyDescent="0.3">
      <c r="A250">
        <v>541860</v>
      </c>
      <c r="B250" t="s">
        <v>872</v>
      </c>
      <c r="C250" s="33">
        <v>8.5000000000000006E-2</v>
      </c>
      <c r="D250" s="33">
        <v>0</v>
      </c>
      <c r="E250" s="33">
        <v>8.5000000000000006E-2</v>
      </c>
      <c r="F250" s="33">
        <f>SCE_Ds[[#This Row],[With Margins ($)]]-SCE_Ds[[#This Row],[ without Margins ( $)]]</f>
        <v>0</v>
      </c>
      <c r="G250" s="11" t="str">
        <f>IF(E249&lt;0.5,"Low", "High")</f>
        <v>Low</v>
      </c>
      <c r="H250" s="9">
        <f>SCE_Ds[[#This Row],[Margins ($)]]/SCE_Ds[[#This Row],[With Margins ($)]]</f>
        <v>0</v>
      </c>
    </row>
    <row r="251" spans="1:8" x14ac:dyDescent="0.3">
      <c r="A251">
        <v>524126</v>
      </c>
      <c r="B251" t="s">
        <v>789</v>
      </c>
      <c r="C251" s="33">
        <v>3.3000000000000002E-2</v>
      </c>
      <c r="D251" s="33">
        <v>0</v>
      </c>
      <c r="E251" s="33">
        <v>3.3000000000000002E-2</v>
      </c>
      <c r="F251" s="33">
        <f>SCE_Ds[[#This Row],[With Margins ($)]]-SCE_Ds[[#This Row],[ without Margins ( $)]]</f>
        <v>0</v>
      </c>
      <c r="G251" s="11" t="str">
        <f>IF(E250&lt;0.5,"Low", "High")</f>
        <v>Low</v>
      </c>
      <c r="H251" s="9">
        <f>SCE_Ds[[#This Row],[Margins ($)]]/SCE_Ds[[#This Row],[With Margins ($)]]</f>
        <v>0</v>
      </c>
    </row>
    <row r="252" spans="1:8" x14ac:dyDescent="0.3">
      <c r="A252">
        <v>524127</v>
      </c>
      <c r="B252" t="s">
        <v>790</v>
      </c>
      <c r="C252" s="33">
        <v>3.3000000000000002E-2</v>
      </c>
      <c r="D252" s="33">
        <v>0</v>
      </c>
      <c r="E252" s="33">
        <v>3.3000000000000002E-2</v>
      </c>
      <c r="F252" s="33">
        <f>SCE_Ds[[#This Row],[With Margins ($)]]-SCE_Ds[[#This Row],[ without Margins ( $)]]</f>
        <v>0</v>
      </c>
      <c r="G252" s="11" t="str">
        <f>IF(E251&lt;0.5,"Low", "High")</f>
        <v>Low</v>
      </c>
      <c r="H252" s="9">
        <f>SCE_Ds[[#This Row],[Margins ($)]]/SCE_Ds[[#This Row],[With Margins ($)]]</f>
        <v>0</v>
      </c>
    </row>
    <row r="253" spans="1:8" x14ac:dyDescent="0.3">
      <c r="A253">
        <v>511140</v>
      </c>
      <c r="B253" t="s">
        <v>727</v>
      </c>
      <c r="C253" s="33">
        <v>5.2999999999999999E-2</v>
      </c>
      <c r="D253" s="33">
        <v>5.5E-2</v>
      </c>
      <c r="E253" s="33">
        <v>0.108</v>
      </c>
      <c r="F253" s="33">
        <f>SCE_Ds[[#This Row],[With Margins ($)]]-SCE_Ds[[#This Row],[ without Margins ( $)]]</f>
        <v>5.5E-2</v>
      </c>
      <c r="G253" s="11" t="str">
        <f>IF(E252&lt;0.5,"Low", "High")</f>
        <v>Low</v>
      </c>
      <c r="H253" s="9">
        <f>SCE_Ds[[#This Row],[Margins ($)]]/SCE_Ds[[#This Row],[With Margins ($)]]</f>
        <v>0.5092592592592593</v>
      </c>
    </row>
    <row r="254" spans="1:8" x14ac:dyDescent="0.3">
      <c r="A254">
        <v>312140</v>
      </c>
      <c r="B254" t="s">
        <v>198</v>
      </c>
      <c r="C254" s="33">
        <v>0.24199999999999999</v>
      </c>
      <c r="D254" s="33">
        <v>6.2E-2</v>
      </c>
      <c r="E254" s="33">
        <v>0.30499999999999999</v>
      </c>
      <c r="F254" s="33">
        <f>SCE_Ds[[#This Row],[With Margins ($)]]-SCE_Ds[[#This Row],[ without Margins ( $)]]</f>
        <v>6.3E-2</v>
      </c>
      <c r="G254" s="11" t="str">
        <f>IF(E253&lt;0.5,"Low", "High")</f>
        <v>Low</v>
      </c>
      <c r="H254" s="9">
        <f>SCE_Ds[[#This Row],[Margins ($)]]/SCE_Ds[[#This Row],[With Margins ($)]]</f>
        <v>0.20327868852459016</v>
      </c>
    </row>
    <row r="255" spans="1:8" x14ac:dyDescent="0.3">
      <c r="A255">
        <v>561410</v>
      </c>
      <c r="B255" t="s">
        <v>891</v>
      </c>
      <c r="C255" s="33">
        <v>0.111</v>
      </c>
      <c r="D255" s="33">
        <v>0</v>
      </c>
      <c r="E255" s="33">
        <v>0.111</v>
      </c>
      <c r="F255" s="33">
        <f>SCE_Ds[[#This Row],[With Margins ($)]]-SCE_Ds[[#This Row],[ without Margins ( $)]]</f>
        <v>0</v>
      </c>
      <c r="G255" s="11" t="str">
        <f>IF(E254&lt;0.5,"Low", "High")</f>
        <v>Low</v>
      </c>
      <c r="H255" s="9">
        <f>SCE_Ds[[#This Row],[Margins ($)]]/SCE_Ds[[#This Row],[With Margins ($)]]</f>
        <v>0</v>
      </c>
    </row>
    <row r="256" spans="1:8" x14ac:dyDescent="0.3">
      <c r="A256">
        <v>311111</v>
      </c>
      <c r="B256" t="s">
        <v>147</v>
      </c>
      <c r="C256" s="33">
        <v>0.28199999999999997</v>
      </c>
      <c r="D256" s="33">
        <v>5.0999999999999997E-2</v>
      </c>
      <c r="E256" s="33">
        <v>0.33300000000000002</v>
      </c>
      <c r="F256" s="33">
        <f>SCE_Ds[[#This Row],[With Margins ($)]]-SCE_Ds[[#This Row],[ without Margins ( $)]]</f>
        <v>5.1000000000000045E-2</v>
      </c>
      <c r="G256" s="11" t="str">
        <f>IF(E255&lt;0.5,"Low", "High")</f>
        <v>Low</v>
      </c>
      <c r="H256" s="9">
        <f>SCE_Ds[[#This Row],[Margins ($)]]/SCE_Ds[[#This Row],[With Margins ($)]]</f>
        <v>0.15315315315315314</v>
      </c>
    </row>
    <row r="257" spans="1:8" x14ac:dyDescent="0.3">
      <c r="A257">
        <v>339930</v>
      </c>
      <c r="B257" t="s">
        <v>517</v>
      </c>
      <c r="C257" s="33">
        <v>8.5000000000000006E-2</v>
      </c>
      <c r="D257" s="33">
        <v>6.0999999999999999E-2</v>
      </c>
      <c r="E257" s="33">
        <v>0.14599999999999999</v>
      </c>
      <c r="F257" s="33">
        <f>SCE_Ds[[#This Row],[With Margins ($)]]-SCE_Ds[[#This Row],[ without Margins ( $)]]</f>
        <v>6.0999999999999985E-2</v>
      </c>
      <c r="G257" s="11" t="str">
        <f>IF(E256&lt;0.5,"Low", "High")</f>
        <v>Low</v>
      </c>
      <c r="H257" s="9">
        <f>SCE_Ds[[#This Row],[Margins ($)]]/SCE_Ds[[#This Row],[With Margins ($)]]</f>
        <v>0.4178082191780822</v>
      </c>
    </row>
    <row r="258" spans="1:8" x14ac:dyDescent="0.3">
      <c r="A258">
        <v>541340</v>
      </c>
      <c r="B258" t="s">
        <v>841</v>
      </c>
      <c r="C258" s="33">
        <v>0.10299999999999999</v>
      </c>
      <c r="D258" s="33">
        <v>0</v>
      </c>
      <c r="E258" s="33">
        <v>0.10299999999999999</v>
      </c>
      <c r="F258" s="33">
        <f>SCE_Ds[[#This Row],[With Margins ($)]]-SCE_Ds[[#This Row],[ without Margins ( $)]]</f>
        <v>0</v>
      </c>
      <c r="G258" s="11" t="str">
        <f>IF(E257&lt;0.5,"Low", "High")</f>
        <v>Low</v>
      </c>
      <c r="H258" s="9">
        <f>SCE_Ds[[#This Row],[Margins ($)]]/SCE_Ds[[#This Row],[With Margins ($)]]</f>
        <v>0</v>
      </c>
    </row>
    <row r="259" spans="1:8" x14ac:dyDescent="0.3">
      <c r="A259">
        <v>311423</v>
      </c>
      <c r="B259" t="s">
        <v>165</v>
      </c>
      <c r="C259" s="33">
        <v>0.34300000000000003</v>
      </c>
      <c r="D259" s="33">
        <v>3.7999999999999999E-2</v>
      </c>
      <c r="E259" s="33">
        <v>0.38100000000000001</v>
      </c>
      <c r="F259" s="33">
        <f>SCE_Ds[[#This Row],[With Margins ($)]]-SCE_Ds[[#This Row],[ without Margins ( $)]]</f>
        <v>3.7999999999999978E-2</v>
      </c>
      <c r="G259" s="11" t="str">
        <f>IF(E258&lt;0.5,"Low", "High")</f>
        <v>Low</v>
      </c>
      <c r="H259" s="9">
        <f>SCE_Ds[[#This Row],[Margins ($)]]/SCE_Ds[[#This Row],[With Margins ($)]]</f>
        <v>9.9737532808398949E-2</v>
      </c>
    </row>
    <row r="260" spans="1:8" x14ac:dyDescent="0.3">
      <c r="A260">
        <v>213111</v>
      </c>
      <c r="B260" t="s">
        <v>99</v>
      </c>
      <c r="C260" s="33">
        <v>0.40699999999999997</v>
      </c>
      <c r="D260" s="33">
        <v>0</v>
      </c>
      <c r="E260" s="33">
        <v>0.40699999999999997</v>
      </c>
      <c r="F260" s="33">
        <f>SCE_Ds[[#This Row],[With Margins ($)]]-SCE_Ds[[#This Row],[ without Margins ( $)]]</f>
        <v>0</v>
      </c>
      <c r="G260" s="11" t="str">
        <f>IF(E259&lt;0.5,"Low", "High")</f>
        <v>Low</v>
      </c>
      <c r="H260" s="9">
        <f>SCE_Ds[[#This Row],[Margins ($)]]/SCE_Ds[[#This Row],[With Margins ($)]]</f>
        <v>0</v>
      </c>
    </row>
    <row r="261" spans="1:8" x14ac:dyDescent="0.3">
      <c r="A261">
        <v>722410</v>
      </c>
      <c r="B261" t="s">
        <v>1027</v>
      </c>
      <c r="C261" s="33">
        <v>0.13200000000000001</v>
      </c>
      <c r="D261" s="33">
        <v>0</v>
      </c>
      <c r="E261" s="33">
        <v>0.13200000000000001</v>
      </c>
      <c r="F261" s="33">
        <f>SCE_Ds[[#This Row],[With Margins ($)]]-SCE_Ds[[#This Row],[ without Margins ( $)]]</f>
        <v>0</v>
      </c>
      <c r="G261" s="11" t="str">
        <f>IF(E260&lt;0.5,"Low", "High")</f>
        <v>Low</v>
      </c>
      <c r="H261" s="9">
        <f>SCE_Ds[[#This Row],[Margins ($)]]/SCE_Ds[[#This Row],[With Margins ($)]]</f>
        <v>0</v>
      </c>
    </row>
    <row r="262" spans="1:8" x14ac:dyDescent="0.3">
      <c r="A262">
        <v>512132</v>
      </c>
      <c r="B262" t="s">
        <v>735</v>
      </c>
      <c r="C262" s="33">
        <v>4.7E-2</v>
      </c>
      <c r="D262" s="33">
        <v>5.0000000000000001E-3</v>
      </c>
      <c r="E262" s="33">
        <v>5.1999999999999998E-2</v>
      </c>
      <c r="F262" s="33">
        <f>SCE_Ds[[#This Row],[With Margins ($)]]-SCE_Ds[[#This Row],[ without Margins ( $)]]</f>
        <v>4.9999999999999975E-3</v>
      </c>
      <c r="G262" s="11" t="str">
        <f>IF(E261&lt;0.5,"Low", "High")</f>
        <v>Low</v>
      </c>
      <c r="H262" s="9">
        <f>SCE_Ds[[#This Row],[Margins ($)]]/SCE_Ds[[#This Row],[With Margins ($)]]</f>
        <v>9.6153846153846159E-2</v>
      </c>
    </row>
    <row r="263" spans="1:8" x14ac:dyDescent="0.3">
      <c r="A263">
        <v>424210</v>
      </c>
      <c r="B263" t="s">
        <v>568</v>
      </c>
      <c r="C263" s="33">
        <v>9.5000000000000001E-2</v>
      </c>
      <c r="D263" s="33">
        <v>0</v>
      </c>
      <c r="E263" s="33">
        <v>9.5000000000000001E-2</v>
      </c>
      <c r="F263" s="33">
        <f>SCE_Ds[[#This Row],[With Margins ($)]]-SCE_Ds[[#This Row],[ without Margins ( $)]]</f>
        <v>0</v>
      </c>
      <c r="G263" s="11" t="str">
        <f>IF(E262&lt;0.5,"Low", "High")</f>
        <v>Low</v>
      </c>
      <c r="H263" s="9">
        <f>SCE_Ds[[#This Row],[Margins ($)]]/SCE_Ds[[#This Row],[With Margins ($)]]</f>
        <v>0</v>
      </c>
    </row>
    <row r="264" spans="1:8" x14ac:dyDescent="0.3">
      <c r="A264">
        <v>311824</v>
      </c>
      <c r="B264" t="s">
        <v>183</v>
      </c>
      <c r="C264" s="33">
        <v>0.31</v>
      </c>
      <c r="D264" s="33">
        <v>4.7E-2</v>
      </c>
      <c r="E264" s="33">
        <v>0.35599999999999998</v>
      </c>
      <c r="F264" s="33">
        <f>SCE_Ds[[#This Row],[With Margins ($)]]-SCE_Ds[[#This Row],[ without Margins ( $)]]</f>
        <v>4.5999999999999985E-2</v>
      </c>
      <c r="G264" s="11" t="str">
        <f>IF(E263&lt;0.5,"Low", "High")</f>
        <v>Low</v>
      </c>
      <c r="H264" s="9">
        <f>SCE_Ds[[#This Row],[Margins ($)]]/SCE_Ds[[#This Row],[With Margins ($)]]</f>
        <v>0.13202247191011238</v>
      </c>
    </row>
    <row r="265" spans="1:8" x14ac:dyDescent="0.3">
      <c r="A265">
        <v>111130</v>
      </c>
      <c r="B265" t="s">
        <v>9</v>
      </c>
      <c r="C265" s="33">
        <v>0.80900000000000005</v>
      </c>
      <c r="D265" s="34">
        <v>0.04</v>
      </c>
      <c r="E265" s="33">
        <v>0.84799999999999998</v>
      </c>
      <c r="F265" s="33">
        <f>SCE_Ds[[#This Row],[With Margins ($)]]-SCE_Ds[[#This Row],[ without Margins ( $)]]</f>
        <v>3.8999999999999924E-2</v>
      </c>
      <c r="G265" s="11" t="str">
        <f>IF(E264&lt;0.5,"Low", "High")</f>
        <v>Low</v>
      </c>
      <c r="H265" s="9">
        <f>SCE_Ds[[#This Row],[Margins ($)]]/SCE_Ds[[#This Row],[With Margins ($)]]</f>
        <v>4.716981132075472E-2</v>
      </c>
    </row>
    <row r="266" spans="1:8" x14ac:dyDescent="0.3">
      <c r="A266">
        <v>311514</v>
      </c>
      <c r="B266" t="s">
        <v>170</v>
      </c>
      <c r="C266" s="33">
        <v>0.60499999999999998</v>
      </c>
      <c r="D266" s="34">
        <v>3.6999999999999998E-2</v>
      </c>
      <c r="E266" s="33">
        <v>0.64200000000000002</v>
      </c>
      <c r="F266" s="33">
        <f>SCE_Ds[[#This Row],[With Margins ($)]]-SCE_Ds[[#This Row],[ without Margins ( $)]]</f>
        <v>3.7000000000000033E-2</v>
      </c>
      <c r="G266" s="11" t="str">
        <f>IF(E265&lt;0.5,"Low", "High")</f>
        <v>High</v>
      </c>
      <c r="H266" s="9">
        <f>SCE_Ds[[#This Row],[Margins ($)]]/SCE_Ds[[#This Row],[With Margins ($)]]</f>
        <v>5.7632398753894074E-2</v>
      </c>
    </row>
    <row r="267" spans="1:8" x14ac:dyDescent="0.3">
      <c r="A267">
        <v>812320</v>
      </c>
      <c r="B267" t="s">
        <v>1059</v>
      </c>
      <c r="C267" s="33">
        <v>0.158</v>
      </c>
      <c r="D267" s="33">
        <v>0</v>
      </c>
      <c r="E267" s="33">
        <v>0.158</v>
      </c>
      <c r="F267" s="33">
        <f>SCE_Ds[[#This Row],[With Margins ($)]]-SCE_Ds[[#This Row],[ without Margins ( $)]]</f>
        <v>0</v>
      </c>
      <c r="G267" s="11" t="str">
        <f>IF(E266&lt;0.5,"Low", "High")</f>
        <v>High</v>
      </c>
      <c r="H267" s="9">
        <f>SCE_Ds[[#This Row],[Margins ($)]]/SCE_Ds[[#This Row],[With Margins ($)]]</f>
        <v>0</v>
      </c>
    </row>
    <row r="268" spans="1:8" x14ac:dyDescent="0.3">
      <c r="A268">
        <v>238310</v>
      </c>
      <c r="B268" t="s">
        <v>139</v>
      </c>
      <c r="C268" s="33">
        <v>0.221</v>
      </c>
      <c r="D268" s="33">
        <v>0</v>
      </c>
      <c r="E268" s="33">
        <v>0.221</v>
      </c>
      <c r="F268" s="33">
        <f>SCE_Ds[[#This Row],[With Margins ($)]]-SCE_Ds[[#This Row],[ without Margins ( $)]]</f>
        <v>0</v>
      </c>
      <c r="G268" s="11" t="str">
        <f>IF(E267&lt;0.5,"Low", "High")</f>
        <v>Low</v>
      </c>
      <c r="H268" s="9">
        <f>SCE_Ds[[#This Row],[Margins ($)]]/SCE_Ds[[#This Row],[With Margins ($)]]</f>
        <v>0</v>
      </c>
    </row>
    <row r="269" spans="1:8" x14ac:dyDescent="0.3">
      <c r="A269">
        <v>112130</v>
      </c>
      <c r="B269" t="s">
        <v>42</v>
      </c>
      <c r="C269" s="33">
        <v>2.847</v>
      </c>
      <c r="D269" s="34">
        <v>4.4999999999999998E-2</v>
      </c>
      <c r="E269" s="33">
        <v>2.8929999999999998</v>
      </c>
      <c r="F269" s="33">
        <f>SCE_Ds[[#This Row],[With Margins ($)]]-SCE_Ds[[#This Row],[ without Margins ( $)]]</f>
        <v>4.5999999999999819E-2</v>
      </c>
      <c r="G269" s="11" t="str">
        <f>IF(E268&lt;0.5,"Low", "High")</f>
        <v>Low</v>
      </c>
      <c r="H269" s="9">
        <f>SCE_Ds[[#This Row],[Margins ($)]]/SCE_Ds[[#This Row],[With Margins ($)]]</f>
        <v>1.5554787417905289E-2</v>
      </c>
    </row>
    <row r="270" spans="1:8" x14ac:dyDescent="0.3">
      <c r="A270">
        <v>611710</v>
      </c>
      <c r="B270" t="s">
        <v>947</v>
      </c>
      <c r="C270" s="33">
        <v>0.108</v>
      </c>
      <c r="D270" s="33">
        <v>0</v>
      </c>
      <c r="E270" s="33">
        <v>0.108</v>
      </c>
      <c r="F270" s="33">
        <f>SCE_Ds[[#This Row],[With Margins ($)]]-SCE_Ds[[#This Row],[ without Margins ( $)]]</f>
        <v>0</v>
      </c>
      <c r="G270" s="11" t="str">
        <f>IF(E269&lt;0.5,"Low", "High")</f>
        <v>High</v>
      </c>
      <c r="H270" s="9">
        <f>SCE_Ds[[#This Row],[Margins ($)]]/SCE_Ds[[#This Row],[With Margins ($)]]</f>
        <v>0</v>
      </c>
    </row>
    <row r="271" spans="1:8" x14ac:dyDescent="0.3">
      <c r="A271">
        <v>335110</v>
      </c>
      <c r="B271" t="s">
        <v>449</v>
      </c>
      <c r="C271" s="33">
        <v>9.9000000000000005E-2</v>
      </c>
      <c r="D271" s="33">
        <v>7.3999999999999996E-2</v>
      </c>
      <c r="E271" s="33">
        <v>0.17299999999999999</v>
      </c>
      <c r="F271" s="33">
        <f>SCE_Ds[[#This Row],[With Margins ($)]]-SCE_Ds[[#This Row],[ without Margins ( $)]]</f>
        <v>7.3999999999999982E-2</v>
      </c>
      <c r="G271" s="11" t="str">
        <f>IF(E270&lt;0.5,"Low", "High")</f>
        <v>Low</v>
      </c>
      <c r="H271" s="9">
        <f>SCE_Ds[[#This Row],[Margins ($)]]/SCE_Ds[[#This Row],[With Margins ($)]]</f>
        <v>0.4277456647398844</v>
      </c>
    </row>
    <row r="272" spans="1:8" x14ac:dyDescent="0.3">
      <c r="A272">
        <v>423610</v>
      </c>
      <c r="B272" t="s">
        <v>546</v>
      </c>
      <c r="C272" s="33">
        <v>8.3000000000000004E-2</v>
      </c>
      <c r="D272" s="33">
        <v>0</v>
      </c>
      <c r="E272" s="33">
        <v>8.3000000000000004E-2</v>
      </c>
      <c r="F272" s="33">
        <f>SCE_Ds[[#This Row],[With Margins ($)]]-SCE_Ds[[#This Row],[ without Margins ( $)]]</f>
        <v>0</v>
      </c>
      <c r="G272" s="11" t="str">
        <f>IF(E271&lt;0.5,"Low", "High")</f>
        <v>Low</v>
      </c>
      <c r="H272" s="9">
        <f>SCE_Ds[[#This Row],[Margins ($)]]/SCE_Ds[[#This Row],[With Margins ($)]]</f>
        <v>0</v>
      </c>
    </row>
    <row r="273" spans="1:8" x14ac:dyDescent="0.3">
      <c r="A273">
        <v>238210</v>
      </c>
      <c r="B273" t="s">
        <v>136</v>
      </c>
      <c r="C273" s="33">
        <v>0.221</v>
      </c>
      <c r="D273" s="33">
        <v>0</v>
      </c>
      <c r="E273" s="33">
        <v>0.221</v>
      </c>
      <c r="F273" s="33">
        <f>SCE_Ds[[#This Row],[With Margins ($)]]-SCE_Ds[[#This Row],[ without Margins ( $)]]</f>
        <v>0</v>
      </c>
      <c r="G273" s="11" t="str">
        <f>IF(E272&lt;0.5,"Low", "High")</f>
        <v>Low</v>
      </c>
      <c r="H273" s="9">
        <f>SCE_Ds[[#This Row],[Margins ($)]]/SCE_Ds[[#This Row],[With Margins ($)]]</f>
        <v>0</v>
      </c>
    </row>
    <row r="274" spans="1:8" x14ac:dyDescent="0.3">
      <c r="A274">
        <v>334510</v>
      </c>
      <c r="B274" t="s">
        <v>437</v>
      </c>
      <c r="C274" s="33">
        <v>8.6999999999999994E-2</v>
      </c>
      <c r="D274" s="33">
        <v>4.8000000000000001E-2</v>
      </c>
      <c r="E274" s="33">
        <v>0.13500000000000001</v>
      </c>
      <c r="F274" s="33">
        <f>SCE_Ds[[#This Row],[With Margins ($)]]-SCE_Ds[[#This Row],[ without Margins ( $)]]</f>
        <v>4.8000000000000015E-2</v>
      </c>
      <c r="G274" s="11" t="str">
        <f>IF(E273&lt;0.5,"Low", "High")</f>
        <v>Low</v>
      </c>
      <c r="H274" s="9">
        <f>SCE_Ds[[#This Row],[Margins ($)]]/SCE_Ds[[#This Row],[With Margins ($)]]</f>
        <v>0.35555555555555551</v>
      </c>
    </row>
    <row r="275" spans="1:8" x14ac:dyDescent="0.3">
      <c r="A275">
        <v>334111</v>
      </c>
      <c r="B275" t="s">
        <v>423</v>
      </c>
      <c r="C275" s="33">
        <v>0.03</v>
      </c>
      <c r="D275" s="33">
        <v>2.8000000000000001E-2</v>
      </c>
      <c r="E275" s="33">
        <v>5.8000000000000003E-2</v>
      </c>
      <c r="F275" s="33">
        <f>SCE_Ds[[#This Row],[With Margins ($)]]-SCE_Ds[[#This Row],[ without Margins ( $)]]</f>
        <v>2.8000000000000004E-2</v>
      </c>
      <c r="G275" s="11" t="str">
        <f>IF(E274&lt;0.5,"Low", "High")</f>
        <v>Low</v>
      </c>
      <c r="H275" s="9">
        <f>SCE_Ds[[#This Row],[Margins ($)]]/SCE_Ds[[#This Row],[With Margins ($)]]</f>
        <v>0.48275862068965514</v>
      </c>
    </row>
    <row r="276" spans="1:8" x14ac:dyDescent="0.3">
      <c r="A276">
        <v>334417</v>
      </c>
      <c r="B276" t="s">
        <v>434</v>
      </c>
      <c r="C276" s="33">
        <v>0.08</v>
      </c>
      <c r="D276" s="33">
        <v>1.9E-2</v>
      </c>
      <c r="E276" s="33">
        <v>9.8000000000000004E-2</v>
      </c>
      <c r="F276" s="33">
        <f>SCE_Ds[[#This Row],[With Margins ($)]]-SCE_Ds[[#This Row],[ without Margins ( $)]]</f>
        <v>1.8000000000000002E-2</v>
      </c>
      <c r="G276" s="11" t="str">
        <f>IF(E275&lt;0.5,"Low", "High")</f>
        <v>Low</v>
      </c>
      <c r="H276" s="9">
        <f>SCE_Ds[[#This Row],[Margins ($)]]/SCE_Ds[[#This Row],[With Margins ($)]]</f>
        <v>0.19387755102040816</v>
      </c>
    </row>
    <row r="277" spans="1:8" x14ac:dyDescent="0.3">
      <c r="A277">
        <v>454110</v>
      </c>
      <c r="B277" t="s">
        <v>662</v>
      </c>
      <c r="C277" s="33">
        <v>9.4E-2</v>
      </c>
      <c r="D277" s="33">
        <v>0</v>
      </c>
      <c r="E277" s="33">
        <v>9.4E-2</v>
      </c>
      <c r="F277" s="33">
        <f>SCE_Ds[[#This Row],[With Margins ($)]]-SCE_Ds[[#This Row],[ without Margins ( $)]]</f>
        <v>0</v>
      </c>
      <c r="G277" s="11" t="str">
        <f>IF(E276&lt;0.5,"Low", "High")</f>
        <v>Low</v>
      </c>
      <c r="H277" s="9">
        <f>SCE_Ds[[#This Row],[Margins ($)]]/SCE_Ds[[#This Row],[With Margins ($)]]</f>
        <v>0</v>
      </c>
    </row>
    <row r="278" spans="1:8" x14ac:dyDescent="0.3">
      <c r="A278">
        <v>443142</v>
      </c>
      <c r="B278" t="s">
        <v>612</v>
      </c>
      <c r="C278" s="33">
        <v>0.111</v>
      </c>
      <c r="D278" s="33">
        <v>0</v>
      </c>
      <c r="E278" s="33">
        <v>0.111</v>
      </c>
      <c r="F278" s="33">
        <f>SCE_Ds[[#This Row],[With Margins ($)]]-SCE_Ds[[#This Row],[ without Margins ( $)]]</f>
        <v>0</v>
      </c>
      <c r="G278" s="11" t="str">
        <f>IF(E277&lt;0.5,"Low", "High")</f>
        <v>Low</v>
      </c>
      <c r="H278" s="9">
        <f>SCE_Ds[[#This Row],[Margins ($)]]/SCE_Ds[[#This Row],[With Margins ($)]]</f>
        <v>0</v>
      </c>
    </row>
    <row r="279" spans="1:8" x14ac:dyDescent="0.3">
      <c r="A279">
        <v>332813</v>
      </c>
      <c r="B279" t="s">
        <v>367</v>
      </c>
      <c r="C279" s="33">
        <v>0.36799999999999999</v>
      </c>
      <c r="D279" s="33">
        <v>1.4999999999999999E-2</v>
      </c>
      <c r="E279" s="33">
        <v>0.38200000000000001</v>
      </c>
      <c r="F279" s="33">
        <f>SCE_Ds[[#This Row],[With Margins ($)]]-SCE_Ds[[#This Row],[ without Margins ( $)]]</f>
        <v>1.4000000000000012E-2</v>
      </c>
      <c r="G279" s="11" t="str">
        <f>IF(E278&lt;0.5,"Low", "High")</f>
        <v>Low</v>
      </c>
      <c r="H279" s="9">
        <f>SCE_Ds[[#This Row],[Margins ($)]]/SCE_Ds[[#This Row],[With Margins ($)]]</f>
        <v>3.9267015706806283E-2</v>
      </c>
    </row>
    <row r="280" spans="1:8" x14ac:dyDescent="0.3">
      <c r="A280">
        <v>611110</v>
      </c>
      <c r="B280" t="s">
        <v>929</v>
      </c>
      <c r="C280" s="33">
        <v>0.186</v>
      </c>
      <c r="D280" s="34">
        <v>0</v>
      </c>
      <c r="E280" s="33">
        <v>0.186</v>
      </c>
      <c r="F280" s="33">
        <f>SCE_Ds[[#This Row],[With Margins ($)]]-SCE_Ds[[#This Row],[ without Margins ( $)]]</f>
        <v>0</v>
      </c>
      <c r="G280" s="11" t="str">
        <f>IF(E279&lt;0.5,"Low", "High")</f>
        <v>Low</v>
      </c>
      <c r="H280" s="9">
        <f>SCE_Ds[[#This Row],[Margins ($)]]/SCE_Ds[[#This Row],[With Margins ($)]]</f>
        <v>0</v>
      </c>
    </row>
    <row r="281" spans="1:8" x14ac:dyDescent="0.3">
      <c r="A281">
        <v>333921</v>
      </c>
      <c r="B281" t="s">
        <v>409</v>
      </c>
      <c r="C281" s="33">
        <v>0.23400000000000001</v>
      </c>
      <c r="D281" s="33">
        <v>2.1999999999999999E-2</v>
      </c>
      <c r="E281" s="33">
        <v>0.25600000000000001</v>
      </c>
      <c r="F281" s="33">
        <f>SCE_Ds[[#This Row],[With Margins ($)]]-SCE_Ds[[#This Row],[ without Margins ( $)]]</f>
        <v>2.1999999999999992E-2</v>
      </c>
      <c r="G281" s="11" t="str">
        <f>IF(E280&lt;0.5,"Low", "High")</f>
        <v>Low</v>
      </c>
      <c r="H281" s="9">
        <f>SCE_Ds[[#This Row],[Margins ($)]]/SCE_Ds[[#This Row],[With Margins ($)]]</f>
        <v>8.59375E-2</v>
      </c>
    </row>
    <row r="282" spans="1:8" x14ac:dyDescent="0.3">
      <c r="A282">
        <v>624230</v>
      </c>
      <c r="B282" t="s">
        <v>987</v>
      </c>
      <c r="C282" s="33">
        <v>0.217</v>
      </c>
      <c r="D282" s="33">
        <v>0</v>
      </c>
      <c r="E282" s="33">
        <v>0.217</v>
      </c>
      <c r="F282" s="33">
        <f>SCE_Ds[[#This Row],[With Margins ($)]]-SCE_Ds[[#This Row],[ without Margins ( $)]]</f>
        <v>0</v>
      </c>
      <c r="G282" s="11" t="str">
        <f>IF(E281&lt;0.5,"Low", "High")</f>
        <v>Low</v>
      </c>
      <c r="H282" s="9">
        <f>SCE_Ds[[#This Row],[Margins ($)]]/SCE_Ds[[#This Row],[With Margins ($)]]</f>
        <v>0</v>
      </c>
    </row>
    <row r="283" spans="1:8" x14ac:dyDescent="0.3">
      <c r="A283">
        <v>561311</v>
      </c>
      <c r="B283" t="s">
        <v>887</v>
      </c>
      <c r="C283" s="33">
        <v>5.0999999999999997E-2</v>
      </c>
      <c r="D283" s="33">
        <v>0</v>
      </c>
      <c r="E283" s="33">
        <v>5.0999999999999997E-2</v>
      </c>
      <c r="F283" s="33">
        <f>SCE_Ds[[#This Row],[With Margins ($)]]-SCE_Ds[[#This Row],[ without Margins ( $)]]</f>
        <v>0</v>
      </c>
      <c r="G283" s="11" t="str">
        <f>IF(E282&lt;0.5,"Low", "High")</f>
        <v>Low</v>
      </c>
      <c r="H283" s="9">
        <f>SCE_Ds[[#This Row],[Margins ($)]]/SCE_Ds[[#This Row],[With Margins ($)]]</f>
        <v>0</v>
      </c>
    </row>
    <row r="284" spans="1:8" x14ac:dyDescent="0.3">
      <c r="A284">
        <v>321213</v>
      </c>
      <c r="B284" t="s">
        <v>227</v>
      </c>
      <c r="C284" s="33">
        <v>0.187</v>
      </c>
      <c r="D284" s="33">
        <v>2.1000000000000001E-2</v>
      </c>
      <c r="E284" s="33">
        <v>0.20799999999999999</v>
      </c>
      <c r="F284" s="33">
        <f>SCE_Ds[[#This Row],[With Margins ($)]]-SCE_Ds[[#This Row],[ without Margins ( $)]]</f>
        <v>2.0999999999999991E-2</v>
      </c>
      <c r="G284" s="11" t="str">
        <f>IF(E283&lt;0.5,"Low", "High")</f>
        <v>Low</v>
      </c>
      <c r="H284" s="9">
        <f>SCE_Ds[[#This Row],[Margins ($)]]/SCE_Ds[[#This Row],[With Margins ($)]]</f>
        <v>0.10096153846153848</v>
      </c>
    </row>
    <row r="285" spans="1:8" x14ac:dyDescent="0.3">
      <c r="A285">
        <v>541330</v>
      </c>
      <c r="B285" t="s">
        <v>840</v>
      </c>
      <c r="C285" s="33">
        <v>0.10299999999999999</v>
      </c>
      <c r="D285" s="33">
        <v>0</v>
      </c>
      <c r="E285" s="33">
        <v>0.10299999999999999</v>
      </c>
      <c r="F285" s="33">
        <f>SCE_Ds[[#This Row],[With Margins ($)]]-SCE_Ds[[#This Row],[ without Margins ( $)]]</f>
        <v>0</v>
      </c>
      <c r="G285" s="11" t="str">
        <f>IF(E284&lt;0.5,"Low", "High")</f>
        <v>Low</v>
      </c>
      <c r="H285" s="9">
        <f>SCE_Ds[[#This Row],[Margins ($)]]/SCE_Ds[[#This Row],[With Margins ($)]]</f>
        <v>0</v>
      </c>
    </row>
    <row r="286" spans="1:8" x14ac:dyDescent="0.3">
      <c r="A286">
        <v>813312</v>
      </c>
      <c r="B286" t="s">
        <v>1073</v>
      </c>
      <c r="C286" s="33">
        <v>5.8999999999999997E-2</v>
      </c>
      <c r="D286" s="33">
        <v>0</v>
      </c>
      <c r="E286" s="33">
        <v>5.8999999999999997E-2</v>
      </c>
      <c r="F286" s="33">
        <f>SCE_Ds[[#This Row],[With Margins ($)]]-SCE_Ds[[#This Row],[ without Margins ( $)]]</f>
        <v>0</v>
      </c>
      <c r="G286" s="11" t="str">
        <f>IF(E285&lt;0.5,"Low", "High")</f>
        <v>Low</v>
      </c>
      <c r="H286" s="9">
        <f>SCE_Ds[[#This Row],[Margins ($)]]/SCE_Ds[[#This Row],[With Margins ($)]]</f>
        <v>0</v>
      </c>
    </row>
    <row r="287" spans="1:8" x14ac:dyDescent="0.3">
      <c r="A287">
        <v>541620</v>
      </c>
      <c r="B287" t="s">
        <v>860</v>
      </c>
      <c r="C287" s="33">
        <v>0.09</v>
      </c>
      <c r="D287" s="33">
        <v>0</v>
      </c>
      <c r="E287" s="33">
        <v>0.09</v>
      </c>
      <c r="F287" s="33">
        <f>SCE_Ds[[#This Row],[With Margins ($)]]-SCE_Ds[[#This Row],[ without Margins ( $)]]</f>
        <v>0</v>
      </c>
      <c r="G287" s="11" t="str">
        <f>IF(E286&lt;0.5,"Low", "High")</f>
        <v>Low</v>
      </c>
      <c r="H287" s="9">
        <f>SCE_Ds[[#This Row],[Margins ($)]]/SCE_Ds[[#This Row],[With Margins ($)]]</f>
        <v>0</v>
      </c>
    </row>
    <row r="288" spans="1:8" x14ac:dyDescent="0.3">
      <c r="A288">
        <v>325193</v>
      </c>
      <c r="B288" t="s">
        <v>262</v>
      </c>
      <c r="C288" s="33">
        <v>1.1659999999999999</v>
      </c>
      <c r="D288" s="34">
        <v>1.7999999999999999E-2</v>
      </c>
      <c r="E288" s="33">
        <v>1.1839999999999999</v>
      </c>
      <c r="F288" s="33">
        <f>SCE_Ds[[#This Row],[With Margins ($)]]-SCE_Ds[[#This Row],[ without Margins ( $)]]</f>
        <v>1.8000000000000016E-2</v>
      </c>
      <c r="G288" s="11" t="str">
        <f>IF(E287&lt;0.5,"Low", "High")</f>
        <v>Low</v>
      </c>
      <c r="H288" s="9">
        <f>SCE_Ds[[#This Row],[Margins ($)]]/SCE_Ds[[#This Row],[With Margins ($)]]</f>
        <v>1.5202702702702702E-2</v>
      </c>
    </row>
    <row r="289" spans="1:8" x14ac:dyDescent="0.3">
      <c r="A289">
        <v>611691</v>
      </c>
      <c r="B289" t="s">
        <v>944</v>
      </c>
      <c r="C289" s="33">
        <v>0.108</v>
      </c>
      <c r="D289" s="33">
        <v>0</v>
      </c>
      <c r="E289" s="33">
        <v>0.108</v>
      </c>
      <c r="F289" s="33">
        <f>SCE_Ds[[#This Row],[With Margins ($)]]-SCE_Ds[[#This Row],[ without Margins ( $)]]</f>
        <v>0</v>
      </c>
      <c r="G289" s="11" t="str">
        <f>IF(E288&lt;0.5,"Low", "High")</f>
        <v>High</v>
      </c>
      <c r="H289" s="9">
        <f>SCE_Ds[[#This Row],[Margins ($)]]/SCE_Ds[[#This Row],[With Margins ($)]]</f>
        <v>0</v>
      </c>
    </row>
    <row r="290" spans="1:8" x14ac:dyDescent="0.3">
      <c r="A290">
        <v>561312</v>
      </c>
      <c r="B290" t="s">
        <v>888</v>
      </c>
      <c r="C290" s="33">
        <v>5.0999999999999997E-2</v>
      </c>
      <c r="D290" s="33">
        <v>0</v>
      </c>
      <c r="E290" s="33">
        <v>5.0999999999999997E-2</v>
      </c>
      <c r="F290" s="33">
        <f>SCE_Ds[[#This Row],[With Margins ($)]]-SCE_Ds[[#This Row],[ without Margins ( $)]]</f>
        <v>0</v>
      </c>
      <c r="G290" s="11" t="str">
        <f>IF(E289&lt;0.5,"Low", "High")</f>
        <v>Low</v>
      </c>
      <c r="H290" s="9">
        <f>SCE_Ds[[#This Row],[Margins ($)]]/SCE_Ds[[#This Row],[With Margins ($)]]</f>
        <v>0</v>
      </c>
    </row>
    <row r="291" spans="1:8" x14ac:dyDescent="0.3">
      <c r="A291">
        <v>325920</v>
      </c>
      <c r="B291" t="s">
        <v>284</v>
      </c>
      <c r="C291" s="33">
        <v>0.47199999999999998</v>
      </c>
      <c r="D291" s="33">
        <v>2.8000000000000001E-2</v>
      </c>
      <c r="E291" s="33">
        <v>0.5</v>
      </c>
      <c r="F291" s="33">
        <f>SCE_Ds[[#This Row],[With Margins ($)]]-SCE_Ds[[#This Row],[ without Margins ( $)]]</f>
        <v>2.8000000000000025E-2</v>
      </c>
      <c r="G291" s="11" t="str">
        <f>IF(E290&lt;0.5,"Low", "High")</f>
        <v>Low</v>
      </c>
      <c r="H291" s="9">
        <f>SCE_Ds[[#This Row],[Margins ($)]]/SCE_Ds[[#This Row],[With Margins ($)]]</f>
        <v>5.6000000000000001E-2</v>
      </c>
    </row>
    <row r="292" spans="1:8" x14ac:dyDescent="0.3">
      <c r="A292">
        <v>561710</v>
      </c>
      <c r="B292" t="s">
        <v>910</v>
      </c>
      <c r="C292" s="33">
        <v>0.214</v>
      </c>
      <c r="D292" s="33">
        <v>0</v>
      </c>
      <c r="E292" s="33">
        <v>0.214</v>
      </c>
      <c r="F292" s="33">
        <f>SCE_Ds[[#This Row],[With Margins ($)]]-SCE_Ds[[#This Row],[ without Margins ( $)]]</f>
        <v>0</v>
      </c>
      <c r="G292" s="11" t="str">
        <f>IF(E291&lt;0.5,"Low", "High")</f>
        <v>High</v>
      </c>
      <c r="H292" s="9">
        <f>SCE_Ds[[#This Row],[Margins ($)]]/SCE_Ds[[#This Row],[With Margins ($)]]</f>
        <v>0</v>
      </c>
    </row>
    <row r="293" spans="1:8" x14ac:dyDescent="0.3">
      <c r="A293">
        <v>313320</v>
      </c>
      <c r="B293" t="s">
        <v>206</v>
      </c>
      <c r="C293" s="33">
        <v>0.37</v>
      </c>
      <c r="D293" s="33">
        <v>2.5999999999999999E-2</v>
      </c>
      <c r="E293" s="33">
        <v>0.39600000000000002</v>
      </c>
      <c r="F293" s="33">
        <f>SCE_Ds[[#This Row],[With Margins ($)]]-SCE_Ds[[#This Row],[ without Margins ( $)]]</f>
        <v>2.6000000000000023E-2</v>
      </c>
      <c r="G293" s="11" t="str">
        <f>IF(E292&lt;0.5,"Low", "High")</f>
        <v>Low</v>
      </c>
      <c r="H293" s="9">
        <f>SCE_Ds[[#This Row],[Margins ($)]]/SCE_Ds[[#This Row],[With Margins ($)]]</f>
        <v>6.5656565656565649E-2</v>
      </c>
    </row>
    <row r="294" spans="1:8" x14ac:dyDescent="0.3">
      <c r="A294">
        <v>332996</v>
      </c>
      <c r="B294" t="s">
        <v>378</v>
      </c>
      <c r="C294" s="33">
        <v>0.21199999999999999</v>
      </c>
      <c r="D294" s="33">
        <v>2.5999999999999999E-2</v>
      </c>
      <c r="E294" s="33">
        <v>0.23799999999999999</v>
      </c>
      <c r="F294" s="33">
        <f>SCE_Ds[[#This Row],[With Margins ($)]]-SCE_Ds[[#This Row],[ without Margins ( $)]]</f>
        <v>2.5999999999999995E-2</v>
      </c>
      <c r="G294" s="11" t="str">
        <f>IF(E293&lt;0.5,"Low", "High")</f>
        <v>Low</v>
      </c>
      <c r="H294" s="9">
        <f>SCE_Ds[[#This Row],[Margins ($)]]/SCE_Ds[[#This Row],[With Margins ($)]]</f>
        <v>0.1092436974789916</v>
      </c>
    </row>
    <row r="295" spans="1:8" x14ac:dyDescent="0.3">
      <c r="A295">
        <v>332312</v>
      </c>
      <c r="B295" t="s">
        <v>350</v>
      </c>
      <c r="C295" s="33">
        <v>0.246</v>
      </c>
      <c r="D295" s="33">
        <v>1.7000000000000001E-2</v>
      </c>
      <c r="E295" s="33">
        <v>0.26200000000000001</v>
      </c>
      <c r="F295" s="33">
        <f>SCE_Ds[[#This Row],[With Margins ($)]]-SCE_Ds[[#This Row],[ without Margins ( $)]]</f>
        <v>1.6000000000000014E-2</v>
      </c>
      <c r="G295" s="11" t="str">
        <f>IF(E294&lt;0.5,"Low", "High")</f>
        <v>Low</v>
      </c>
      <c r="H295" s="9">
        <f>SCE_Ds[[#This Row],[Margins ($)]]/SCE_Ds[[#This Row],[With Margins ($)]]</f>
        <v>6.4885496183206104E-2</v>
      </c>
    </row>
    <row r="296" spans="1:8" x14ac:dyDescent="0.3">
      <c r="A296">
        <v>561210</v>
      </c>
      <c r="B296" t="s">
        <v>886</v>
      </c>
      <c r="C296" s="33">
        <v>0.19900000000000001</v>
      </c>
      <c r="D296" s="33">
        <v>0</v>
      </c>
      <c r="E296" s="33">
        <v>0.19900000000000001</v>
      </c>
      <c r="F296" s="33">
        <f>SCE_Ds[[#This Row],[With Margins ($)]]-SCE_Ds[[#This Row],[ without Margins ( $)]]</f>
        <v>0</v>
      </c>
      <c r="G296" s="11" t="str">
        <f>IF(E295&lt;0.5,"Low", "High")</f>
        <v>Low</v>
      </c>
      <c r="H296" s="9">
        <f>SCE_Ds[[#This Row],[Margins ($)]]/SCE_Ds[[#This Row],[With Margins ($)]]</f>
        <v>0</v>
      </c>
    </row>
    <row r="297" spans="1:8" x14ac:dyDescent="0.3">
      <c r="A297">
        <v>448140</v>
      </c>
      <c r="B297" t="s">
        <v>638</v>
      </c>
      <c r="C297" s="33">
        <v>0.13800000000000001</v>
      </c>
      <c r="D297" s="33">
        <v>0</v>
      </c>
      <c r="E297" s="33">
        <v>0.13800000000000001</v>
      </c>
      <c r="F297" s="33">
        <f>SCE_Ds[[#This Row],[With Margins ($)]]-SCE_Ds[[#This Row],[ without Margins ( $)]]</f>
        <v>0</v>
      </c>
      <c r="G297" s="11" t="str">
        <f>IF(E296&lt;0.5,"Low", "High")</f>
        <v>Low</v>
      </c>
      <c r="H297" s="9">
        <f>SCE_Ds[[#This Row],[Margins ($)]]/SCE_Ds[[#This Row],[With Margins ($)]]</f>
        <v>0</v>
      </c>
    </row>
    <row r="298" spans="1:8" x14ac:dyDescent="0.3">
      <c r="A298">
        <v>621410</v>
      </c>
      <c r="B298" t="s">
        <v>957</v>
      </c>
      <c r="C298" s="33">
        <v>9.6000000000000002E-2</v>
      </c>
      <c r="D298" s="33">
        <v>0</v>
      </c>
      <c r="E298" s="33">
        <v>9.6000000000000002E-2</v>
      </c>
      <c r="F298" s="33">
        <f>SCE_Ds[[#This Row],[With Margins ($)]]-SCE_Ds[[#This Row],[ without Margins ( $)]]</f>
        <v>0</v>
      </c>
      <c r="G298" s="11" t="str">
        <f>IF(E297&lt;0.5,"Low", "High")</f>
        <v>Low</v>
      </c>
      <c r="H298" s="9">
        <f>SCE_Ds[[#This Row],[Margins ($)]]/SCE_Ds[[#This Row],[With Margins ($)]]</f>
        <v>0</v>
      </c>
    </row>
    <row r="299" spans="1:8" x14ac:dyDescent="0.3">
      <c r="A299">
        <v>423820</v>
      </c>
      <c r="B299" t="s">
        <v>554</v>
      </c>
      <c r="C299" s="33">
        <v>0.115</v>
      </c>
      <c r="D299" s="33">
        <v>0</v>
      </c>
      <c r="E299" s="33">
        <v>0.115</v>
      </c>
      <c r="F299" s="33">
        <f>SCE_Ds[[#This Row],[With Margins ($)]]-SCE_Ds[[#This Row],[ without Margins ( $)]]</f>
        <v>0</v>
      </c>
      <c r="G299" s="11" t="str">
        <f>IF(E298&lt;0.5,"Low", "High")</f>
        <v>Low</v>
      </c>
      <c r="H299" s="9">
        <f>SCE_Ds[[#This Row],[Margins ($)]]/SCE_Ds[[#This Row],[With Margins ($)]]</f>
        <v>0</v>
      </c>
    </row>
    <row r="300" spans="1:8" x14ac:dyDescent="0.3">
      <c r="A300">
        <v>115115</v>
      </c>
      <c r="B300" t="s">
        <v>70</v>
      </c>
      <c r="C300" s="33">
        <v>0.38400000000000001</v>
      </c>
      <c r="D300" s="33">
        <v>0</v>
      </c>
      <c r="E300" s="33">
        <v>0.38400000000000001</v>
      </c>
      <c r="F300" s="33">
        <f>SCE_Ds[[#This Row],[With Margins ($)]]-SCE_Ds[[#This Row],[ without Margins ( $)]]</f>
        <v>0</v>
      </c>
      <c r="G300" s="11" t="str">
        <f>IF(E299&lt;0.5,"Low", "High")</f>
        <v>Low</v>
      </c>
      <c r="H300" s="9">
        <f>SCE_Ds[[#This Row],[Margins ($)]]/SCE_Ds[[#This Row],[With Margins ($)]]</f>
        <v>0</v>
      </c>
    </row>
    <row r="301" spans="1:8" x14ac:dyDescent="0.3">
      <c r="A301">
        <v>333111</v>
      </c>
      <c r="B301" t="s">
        <v>380</v>
      </c>
      <c r="C301" s="33">
        <v>0.191</v>
      </c>
      <c r="D301" s="33">
        <v>2.9000000000000001E-2</v>
      </c>
      <c r="E301" s="33">
        <v>0.22</v>
      </c>
      <c r="F301" s="33">
        <f>SCE_Ds[[#This Row],[With Margins ($)]]-SCE_Ds[[#This Row],[ without Margins ( $)]]</f>
        <v>2.8999999999999998E-2</v>
      </c>
      <c r="G301" s="11" t="str">
        <f>IF(E300&lt;0.5,"Low", "High")</f>
        <v>Low</v>
      </c>
      <c r="H301" s="9">
        <f>SCE_Ds[[#This Row],[Margins ($)]]/SCE_Ds[[#This Row],[With Margins ($)]]</f>
        <v>0.13181818181818183</v>
      </c>
    </row>
    <row r="302" spans="1:8" x14ac:dyDescent="0.3">
      <c r="A302">
        <v>115116</v>
      </c>
      <c r="B302" t="s">
        <v>71</v>
      </c>
      <c r="C302" s="33">
        <v>0.38400000000000001</v>
      </c>
      <c r="D302" s="33">
        <v>0</v>
      </c>
      <c r="E302" s="33">
        <v>0.38400000000000001</v>
      </c>
      <c r="F302" s="33">
        <f>SCE_Ds[[#This Row],[With Margins ($)]]-SCE_Ds[[#This Row],[ without Margins ( $)]]</f>
        <v>0</v>
      </c>
      <c r="G302" s="11" t="str">
        <f>IF(E301&lt;0.5,"Low", "High")</f>
        <v>Low</v>
      </c>
      <c r="H302" s="9">
        <f>SCE_Ds[[#This Row],[Margins ($)]]/SCE_Ds[[#This Row],[With Margins ($)]]</f>
        <v>0</v>
      </c>
    </row>
    <row r="303" spans="1:8" x14ac:dyDescent="0.3">
      <c r="A303">
        <v>493130</v>
      </c>
      <c r="B303" t="s">
        <v>722</v>
      </c>
      <c r="C303" s="33">
        <v>0.24399999999999999</v>
      </c>
      <c r="D303" s="33">
        <v>0</v>
      </c>
      <c r="E303" s="33">
        <v>0.24399999999999999</v>
      </c>
      <c r="F303" s="33">
        <f>SCE_Ds[[#This Row],[With Margins ($)]]-SCE_Ds[[#This Row],[ without Margins ( $)]]</f>
        <v>0</v>
      </c>
      <c r="G303" s="11" t="str">
        <f>IF(E302&lt;0.5,"Low", "High")</f>
        <v>Low</v>
      </c>
      <c r="H303" s="9">
        <f>SCE_Ds[[#This Row],[Margins ($)]]/SCE_Ds[[#This Row],[With Margins ($)]]</f>
        <v>0</v>
      </c>
    </row>
    <row r="304" spans="1:8" x14ac:dyDescent="0.3">
      <c r="A304">
        <v>424910</v>
      </c>
      <c r="B304" t="s">
        <v>591</v>
      </c>
      <c r="C304" s="33">
        <v>0.14399999999999999</v>
      </c>
      <c r="D304" s="33">
        <v>0</v>
      </c>
      <c r="E304" s="33">
        <v>0.14399999999999999</v>
      </c>
      <c r="F304" s="33">
        <f>SCE_Ds[[#This Row],[With Margins ($)]]-SCE_Ds[[#This Row],[ without Margins ( $)]]</f>
        <v>0</v>
      </c>
      <c r="G304" s="11" t="str">
        <f>IF(E303&lt;0.5,"Low", "High")</f>
        <v>Low</v>
      </c>
      <c r="H304" s="9">
        <f>SCE_Ds[[#This Row],[Margins ($)]]/SCE_Ds[[#This Row],[With Margins ($)]]</f>
        <v>0</v>
      </c>
    </row>
    <row r="305" spans="1:8" x14ac:dyDescent="0.3">
      <c r="A305">
        <v>339993</v>
      </c>
      <c r="B305" t="s">
        <v>522</v>
      </c>
      <c r="C305" s="33">
        <v>0.121</v>
      </c>
      <c r="D305" s="33">
        <v>6.0999999999999999E-2</v>
      </c>
      <c r="E305" s="33">
        <v>0.182</v>
      </c>
      <c r="F305" s="33">
        <f>SCE_Ds[[#This Row],[With Margins ($)]]-SCE_Ds[[#This Row],[ without Margins ( $)]]</f>
        <v>6.0999999999999999E-2</v>
      </c>
      <c r="G305" s="11" t="str">
        <f>IF(E304&lt;0.5,"Low", "High")</f>
        <v>Low</v>
      </c>
      <c r="H305" s="9">
        <f>SCE_Ds[[#This Row],[Margins ($)]]/SCE_Ds[[#This Row],[With Margins ($)]]</f>
        <v>0.33516483516483514</v>
      </c>
    </row>
    <row r="306" spans="1:8" x14ac:dyDescent="0.3">
      <c r="A306">
        <v>311225</v>
      </c>
      <c r="B306" t="s">
        <v>154</v>
      </c>
      <c r="C306" s="33">
        <v>0.36</v>
      </c>
      <c r="D306" s="34">
        <v>2.5000000000000001E-2</v>
      </c>
      <c r="E306" s="33">
        <v>0.38500000000000001</v>
      </c>
      <c r="F306" s="33">
        <f>SCE_Ds[[#This Row],[With Margins ($)]]-SCE_Ds[[#This Row],[ without Margins ( $)]]</f>
        <v>2.5000000000000022E-2</v>
      </c>
      <c r="G306" s="11" t="str">
        <f>IF(E305&lt;0.5,"Low", "High")</f>
        <v>Low</v>
      </c>
      <c r="H306" s="9">
        <f>SCE_Ds[[#This Row],[Margins ($)]]/SCE_Ds[[#This Row],[With Margins ($)]]</f>
        <v>6.4935064935064943E-2</v>
      </c>
    </row>
    <row r="307" spans="1:8" x14ac:dyDescent="0.3">
      <c r="A307">
        <v>325314</v>
      </c>
      <c r="B307" t="s">
        <v>271</v>
      </c>
      <c r="C307" s="33">
        <v>1.1140000000000001</v>
      </c>
      <c r="D307" s="34">
        <v>2.3E-2</v>
      </c>
      <c r="E307" s="33">
        <v>1.137</v>
      </c>
      <c r="F307" s="33">
        <f>SCE_Ds[[#This Row],[With Margins ($)]]-SCE_Ds[[#This Row],[ without Margins ( $)]]</f>
        <v>2.2999999999999909E-2</v>
      </c>
      <c r="G307" s="11" t="str">
        <f>IF(E306&lt;0.5,"Low", "High")</f>
        <v>Low</v>
      </c>
      <c r="H307" s="9">
        <f>SCE_Ds[[#This Row],[Margins ($)]]/SCE_Ds[[#This Row],[With Margins ($)]]</f>
        <v>2.0228671943711522E-2</v>
      </c>
    </row>
    <row r="308" spans="1:8" x14ac:dyDescent="0.3">
      <c r="A308">
        <v>335921</v>
      </c>
      <c r="B308" t="s">
        <v>461</v>
      </c>
      <c r="C308" s="33">
        <v>0.219</v>
      </c>
      <c r="D308" s="33">
        <v>1.6E-2</v>
      </c>
      <c r="E308" s="33">
        <v>0.23499999999999999</v>
      </c>
      <c r="F308" s="33">
        <f>SCE_Ds[[#This Row],[With Margins ($)]]-SCE_Ds[[#This Row],[ without Margins ( $)]]</f>
        <v>1.5999999999999986E-2</v>
      </c>
      <c r="G308" s="11" t="str">
        <f>IF(E307&lt;0.5,"Low", "High")</f>
        <v>High</v>
      </c>
      <c r="H308" s="9">
        <f>SCE_Ds[[#This Row],[Margins ($)]]/SCE_Ds[[#This Row],[With Margins ($)]]</f>
        <v>6.8085106382978725E-2</v>
      </c>
    </row>
    <row r="309" spans="1:8" x14ac:dyDescent="0.3">
      <c r="A309">
        <v>313110</v>
      </c>
      <c r="B309" t="s">
        <v>200</v>
      </c>
      <c r="C309" s="33">
        <v>0.63600000000000001</v>
      </c>
      <c r="D309" s="33">
        <v>2.3E-2</v>
      </c>
      <c r="E309" s="33">
        <v>0.65900000000000003</v>
      </c>
      <c r="F309" s="33">
        <f>SCE_Ds[[#This Row],[With Margins ($)]]-SCE_Ds[[#This Row],[ without Margins ( $)]]</f>
        <v>2.300000000000002E-2</v>
      </c>
      <c r="G309" s="11" t="str">
        <f>IF(E308&lt;0.5,"Low", "High")</f>
        <v>Low</v>
      </c>
      <c r="H309" s="9">
        <f>SCE_Ds[[#This Row],[Margins ($)]]/SCE_Ds[[#This Row],[With Margins ($)]]</f>
        <v>3.4901365705614563E-2</v>
      </c>
    </row>
    <row r="310" spans="1:8" x14ac:dyDescent="0.3">
      <c r="A310">
        <v>522320</v>
      </c>
      <c r="B310" t="s">
        <v>773</v>
      </c>
      <c r="C310" s="33">
        <v>7.1999999999999995E-2</v>
      </c>
      <c r="D310" s="33">
        <v>0</v>
      </c>
      <c r="E310" s="33">
        <v>7.1999999999999995E-2</v>
      </c>
      <c r="F310" s="33">
        <f>SCE_Ds[[#This Row],[With Margins ($)]]-SCE_Ds[[#This Row],[ without Margins ( $)]]</f>
        <v>0</v>
      </c>
      <c r="G310" s="11" t="str">
        <f>IF(E309&lt;0.5,"Low", "High")</f>
        <v>High</v>
      </c>
      <c r="H310" s="9">
        <f>SCE_Ds[[#This Row],[Margins ($)]]/SCE_Ds[[#This Row],[With Margins ($)]]</f>
        <v>0</v>
      </c>
    </row>
    <row r="311" spans="1:8" x14ac:dyDescent="0.3">
      <c r="A311">
        <v>611610</v>
      </c>
      <c r="B311" t="s">
        <v>941</v>
      </c>
      <c r="C311" s="33">
        <v>0.108</v>
      </c>
      <c r="D311" s="33">
        <v>0</v>
      </c>
      <c r="E311" s="33">
        <v>0.108</v>
      </c>
      <c r="F311" s="33">
        <f>SCE_Ds[[#This Row],[With Margins ($)]]-SCE_Ds[[#This Row],[ without Margins ( $)]]</f>
        <v>0</v>
      </c>
      <c r="G311" s="11" t="str">
        <f>IF(E310&lt;0.5,"Low", "High")</f>
        <v>Low</v>
      </c>
      <c r="H311" s="9">
        <f>SCE_Ds[[#This Row],[Margins ($)]]/SCE_Ds[[#This Row],[With Margins ($)]]</f>
        <v>0</v>
      </c>
    </row>
    <row r="312" spans="1:8" x14ac:dyDescent="0.3">
      <c r="A312">
        <v>112511</v>
      </c>
      <c r="B312" t="s">
        <v>52</v>
      </c>
      <c r="C312" s="33">
        <v>1.077</v>
      </c>
      <c r="D312" s="34">
        <v>5.0999999999999997E-2</v>
      </c>
      <c r="E312" s="33">
        <v>1.1279999999999999</v>
      </c>
      <c r="F312" s="33">
        <f>SCE_Ds[[#This Row],[With Margins ($)]]-SCE_Ds[[#This Row],[ without Margins ( $)]]</f>
        <v>5.0999999999999934E-2</v>
      </c>
      <c r="G312" s="11" t="str">
        <f>IF(E311&lt;0.5,"Low", "High")</f>
        <v>Low</v>
      </c>
      <c r="H312" s="9">
        <f>SCE_Ds[[#This Row],[Margins ($)]]/SCE_Ds[[#This Row],[With Margins ($)]]</f>
        <v>4.5212765957446811E-2</v>
      </c>
    </row>
    <row r="313" spans="1:8" x14ac:dyDescent="0.3">
      <c r="A313">
        <v>114111</v>
      </c>
      <c r="B313" t="s">
        <v>62</v>
      </c>
      <c r="C313" s="33">
        <v>0.127</v>
      </c>
      <c r="D313" s="33">
        <v>2.7E-2</v>
      </c>
      <c r="E313" s="33">
        <v>0.154</v>
      </c>
      <c r="F313" s="33">
        <f>SCE_Ds[[#This Row],[With Margins ($)]]-SCE_Ds[[#This Row],[ without Margins ( $)]]</f>
        <v>2.6999999999999996E-2</v>
      </c>
      <c r="G313" s="11" t="str">
        <f>IF(E312&lt;0.5,"Low", "High")</f>
        <v>High</v>
      </c>
      <c r="H313" s="9">
        <f>SCE_Ds[[#This Row],[Margins ($)]]/SCE_Ds[[#This Row],[With Margins ($)]]</f>
        <v>0.17532467532467533</v>
      </c>
    </row>
    <row r="314" spans="1:8" x14ac:dyDescent="0.3">
      <c r="A314">
        <v>238350</v>
      </c>
      <c r="B314" t="s">
        <v>143</v>
      </c>
      <c r="C314" s="33">
        <v>0.221</v>
      </c>
      <c r="D314" s="33">
        <v>0</v>
      </c>
      <c r="E314" s="33">
        <v>0.221</v>
      </c>
      <c r="F314" s="33">
        <f>SCE_Ds[[#This Row],[With Margins ($)]]-SCE_Ds[[#This Row],[ without Margins ( $)]]</f>
        <v>0</v>
      </c>
      <c r="G314" s="11" t="str">
        <f>IF(E313&lt;0.5,"Low", "High")</f>
        <v>Low</v>
      </c>
      <c r="H314" s="9">
        <f>SCE_Ds[[#This Row],[Margins ($)]]/SCE_Ds[[#This Row],[With Margins ($)]]</f>
        <v>0</v>
      </c>
    </row>
    <row r="315" spans="1:8" x14ac:dyDescent="0.3">
      <c r="A315">
        <v>445220</v>
      </c>
      <c r="B315" t="s">
        <v>622</v>
      </c>
      <c r="C315" s="33">
        <v>0.186</v>
      </c>
      <c r="D315" s="33">
        <v>0</v>
      </c>
      <c r="E315" s="33">
        <v>0.186</v>
      </c>
      <c r="F315" s="33">
        <f>SCE_Ds[[#This Row],[With Margins ($)]]-SCE_Ds[[#This Row],[ without Margins ( $)]]</f>
        <v>0</v>
      </c>
      <c r="G315" s="11" t="str">
        <f>IF(E314&lt;0.5,"Low", "High")</f>
        <v>Low</v>
      </c>
      <c r="H315" s="9">
        <f>SCE_Ds[[#This Row],[Margins ($)]]/SCE_Ds[[#This Row],[With Margins ($)]]</f>
        <v>0</v>
      </c>
    </row>
    <row r="316" spans="1:8" x14ac:dyDescent="0.3">
      <c r="A316">
        <v>424460</v>
      </c>
      <c r="B316" t="s">
        <v>578</v>
      </c>
      <c r="C316" s="33">
        <v>0.159</v>
      </c>
      <c r="D316" s="33">
        <v>0</v>
      </c>
      <c r="E316" s="33">
        <v>0.159</v>
      </c>
      <c r="F316" s="33">
        <f>SCE_Ds[[#This Row],[With Margins ($)]]-SCE_Ds[[#This Row],[ without Margins ( $)]]</f>
        <v>0</v>
      </c>
      <c r="G316" s="11" t="str">
        <f>IF(E315&lt;0.5,"Low", "High")</f>
        <v>Low</v>
      </c>
      <c r="H316" s="9">
        <f>SCE_Ds[[#This Row],[Margins ($)]]/SCE_Ds[[#This Row],[With Margins ($)]]</f>
        <v>0</v>
      </c>
    </row>
    <row r="317" spans="1:8" x14ac:dyDescent="0.3">
      <c r="A317">
        <v>713940</v>
      </c>
      <c r="B317" t="s">
        <v>1013</v>
      </c>
      <c r="C317" s="33">
        <v>0.23499999999999999</v>
      </c>
      <c r="D317" s="33">
        <v>0</v>
      </c>
      <c r="E317" s="33">
        <v>0.23499999999999999</v>
      </c>
      <c r="F317" s="33">
        <f>SCE_Ds[[#This Row],[With Margins ($)]]-SCE_Ds[[#This Row],[ without Margins ( $)]]</f>
        <v>0</v>
      </c>
      <c r="G317" s="11" t="str">
        <f>IF(E316&lt;0.5,"Low", "High")</f>
        <v>Low</v>
      </c>
      <c r="H317" s="9">
        <f>SCE_Ds[[#This Row],[Margins ($)]]/SCE_Ds[[#This Row],[With Margins ($)]]</f>
        <v>0</v>
      </c>
    </row>
    <row r="318" spans="1:8" x14ac:dyDescent="0.3">
      <c r="A318">
        <v>327211</v>
      </c>
      <c r="B318" t="s">
        <v>307</v>
      </c>
      <c r="C318" s="33">
        <v>0.53700000000000003</v>
      </c>
      <c r="D318" s="33">
        <v>0.06</v>
      </c>
      <c r="E318" s="33">
        <v>0.59699999999999998</v>
      </c>
      <c r="F318" s="33">
        <f>SCE_Ds[[#This Row],[With Margins ($)]]-SCE_Ds[[#This Row],[ without Margins ( $)]]</f>
        <v>5.9999999999999942E-2</v>
      </c>
      <c r="G318" s="11" t="str">
        <f>IF(E317&lt;0.5,"Low", "High")</f>
        <v>Low</v>
      </c>
      <c r="H318" s="9">
        <f>SCE_Ds[[#This Row],[Margins ($)]]/SCE_Ds[[#This Row],[With Margins ($)]]</f>
        <v>0.10050251256281408</v>
      </c>
    </row>
    <row r="319" spans="1:8" x14ac:dyDescent="0.3">
      <c r="A319">
        <v>311930</v>
      </c>
      <c r="B319" t="s">
        <v>188</v>
      </c>
      <c r="C319" s="33">
        <v>0.19500000000000001</v>
      </c>
      <c r="D319" s="33">
        <v>2.1000000000000001E-2</v>
      </c>
      <c r="E319" s="33">
        <v>0.216</v>
      </c>
      <c r="F319" s="33">
        <f>SCE_Ds[[#This Row],[With Margins ($)]]-SCE_Ds[[#This Row],[ without Margins ( $)]]</f>
        <v>2.0999999999999991E-2</v>
      </c>
      <c r="G319" s="11" t="str">
        <f>IF(E318&lt;0.5,"Low", "High")</f>
        <v>High</v>
      </c>
      <c r="H319" s="9">
        <f>SCE_Ds[[#This Row],[Margins ($)]]/SCE_Ds[[#This Row],[With Margins ($)]]</f>
        <v>9.7222222222222224E-2</v>
      </c>
    </row>
    <row r="320" spans="1:8" x14ac:dyDescent="0.3">
      <c r="A320">
        <v>611512</v>
      </c>
      <c r="B320" t="s">
        <v>938</v>
      </c>
      <c r="C320" s="33">
        <v>0.108</v>
      </c>
      <c r="D320" s="33">
        <v>0</v>
      </c>
      <c r="E320" s="33">
        <v>0.108</v>
      </c>
      <c r="F320" s="33">
        <f>SCE_Ds[[#This Row],[With Margins ($)]]-SCE_Ds[[#This Row],[ without Margins ( $)]]</f>
        <v>0</v>
      </c>
      <c r="G320" s="11" t="str">
        <f>IF(E319&lt;0.5,"Low", "High")</f>
        <v>Low</v>
      </c>
      <c r="H320" s="9">
        <f>SCE_Ds[[#This Row],[Margins ($)]]/SCE_Ds[[#This Row],[With Margins ($)]]</f>
        <v>0</v>
      </c>
    </row>
    <row r="321" spans="1:8" x14ac:dyDescent="0.3">
      <c r="A321">
        <v>442210</v>
      </c>
      <c r="B321" t="s">
        <v>608</v>
      </c>
      <c r="C321" s="33">
        <v>0.111</v>
      </c>
      <c r="D321" s="33">
        <v>0</v>
      </c>
      <c r="E321" s="33">
        <v>0.111</v>
      </c>
      <c r="F321" s="33">
        <f>SCE_Ds[[#This Row],[With Margins ($)]]-SCE_Ds[[#This Row],[ without Margins ( $)]]</f>
        <v>0</v>
      </c>
      <c r="G321" s="11" t="str">
        <f>IF(E320&lt;0.5,"Low", "High")</f>
        <v>Low</v>
      </c>
      <c r="H321" s="9">
        <f>SCE_Ds[[#This Row],[Margins ($)]]/SCE_Ds[[#This Row],[With Margins ($)]]</f>
        <v>0</v>
      </c>
    </row>
    <row r="322" spans="1:8" x14ac:dyDescent="0.3">
      <c r="A322">
        <v>238330</v>
      </c>
      <c r="B322" t="s">
        <v>141</v>
      </c>
      <c r="C322" s="33">
        <v>0.221</v>
      </c>
      <c r="D322" s="33">
        <v>0</v>
      </c>
      <c r="E322" s="33">
        <v>0.221</v>
      </c>
      <c r="F322" s="33">
        <f>SCE_Ds[[#This Row],[With Margins ($)]]-SCE_Ds[[#This Row],[ without Margins ( $)]]</f>
        <v>0</v>
      </c>
      <c r="G322" s="11" t="str">
        <f>IF(E321&lt;0.5,"Low", "High")</f>
        <v>Low</v>
      </c>
      <c r="H322" s="9">
        <f>SCE_Ds[[#This Row],[Margins ($)]]/SCE_Ds[[#This Row],[With Margins ($)]]</f>
        <v>0</v>
      </c>
    </row>
    <row r="323" spans="1:8" x14ac:dyDescent="0.3">
      <c r="A323">
        <v>111422</v>
      </c>
      <c r="B323" t="s">
        <v>30</v>
      </c>
      <c r="C323" s="33">
        <v>0.26600000000000001</v>
      </c>
      <c r="D323" s="33">
        <v>4.1000000000000002E-2</v>
      </c>
      <c r="E323" s="33">
        <v>0.307</v>
      </c>
      <c r="F323" s="33">
        <f>SCE_Ds[[#This Row],[With Margins ($)]]-SCE_Ds[[#This Row],[ without Margins ( $)]]</f>
        <v>4.0999999999999981E-2</v>
      </c>
      <c r="G323" s="11" t="str">
        <f>IF(E322&lt;0.5,"Low", "High")</f>
        <v>Low</v>
      </c>
      <c r="H323" s="9">
        <f>SCE_Ds[[#This Row],[Margins ($)]]/SCE_Ds[[#This Row],[With Margins ($)]]</f>
        <v>0.13355048859934854</v>
      </c>
    </row>
    <row r="324" spans="1:8" x14ac:dyDescent="0.3">
      <c r="A324">
        <v>453110</v>
      </c>
      <c r="B324" t="s">
        <v>653</v>
      </c>
      <c r="C324" s="33">
        <v>0.111</v>
      </c>
      <c r="D324" s="33">
        <v>0</v>
      </c>
      <c r="E324" s="33">
        <v>0.111</v>
      </c>
      <c r="F324" s="33">
        <f>SCE_Ds[[#This Row],[With Margins ($)]]-SCE_Ds[[#This Row],[ without Margins ( $)]]</f>
        <v>0</v>
      </c>
      <c r="G324" s="11" t="str">
        <f>IF(E323&lt;0.5,"Low", "High")</f>
        <v>Low</v>
      </c>
      <c r="H324" s="9">
        <f>SCE_Ds[[#This Row],[Margins ($)]]/SCE_Ds[[#This Row],[With Margins ($)]]</f>
        <v>0</v>
      </c>
    </row>
    <row r="325" spans="1:8" x14ac:dyDescent="0.3">
      <c r="A325">
        <v>311211</v>
      </c>
      <c r="B325" t="s">
        <v>149</v>
      </c>
      <c r="C325" s="33">
        <v>0.73199999999999998</v>
      </c>
      <c r="D325" s="33">
        <v>3.6999999999999998E-2</v>
      </c>
      <c r="E325" s="33">
        <v>0.76900000000000002</v>
      </c>
      <c r="F325" s="33">
        <f>SCE_Ds[[#This Row],[With Margins ($)]]-SCE_Ds[[#This Row],[ without Margins ( $)]]</f>
        <v>3.7000000000000033E-2</v>
      </c>
      <c r="G325" s="11" t="str">
        <f>IF(E324&lt;0.5,"Low", "High")</f>
        <v>Low</v>
      </c>
      <c r="H325" s="9">
        <f>SCE_Ds[[#This Row],[Margins ($)]]/SCE_Ds[[#This Row],[With Margins ($)]]</f>
        <v>4.8114434330299084E-2</v>
      </c>
    </row>
    <row r="326" spans="1:8" x14ac:dyDescent="0.3">
      <c r="A326">
        <v>424930</v>
      </c>
      <c r="B326" t="s">
        <v>593</v>
      </c>
      <c r="C326" s="33">
        <v>0.14399999999999999</v>
      </c>
      <c r="D326" s="33">
        <v>0</v>
      </c>
      <c r="E326" s="33">
        <v>0.14399999999999999</v>
      </c>
      <c r="F326" s="33">
        <f>SCE_Ds[[#This Row],[With Margins ($)]]-SCE_Ds[[#This Row],[ without Margins ( $)]]</f>
        <v>0</v>
      </c>
      <c r="G326" s="11" t="str">
        <f>IF(E325&lt;0.5,"Low", "High")</f>
        <v>High</v>
      </c>
      <c r="H326" s="9">
        <f>SCE_Ds[[#This Row],[Margins ($)]]/SCE_Ds[[#This Row],[With Margins ($)]]</f>
        <v>0</v>
      </c>
    </row>
    <row r="327" spans="1:8" x14ac:dyDescent="0.3">
      <c r="A327">
        <v>311511</v>
      </c>
      <c r="B327" t="s">
        <v>166</v>
      </c>
      <c r="C327" s="33">
        <v>0.76600000000000001</v>
      </c>
      <c r="D327" s="33">
        <v>3.6999999999999998E-2</v>
      </c>
      <c r="E327" s="33">
        <v>0.80300000000000005</v>
      </c>
      <c r="F327" s="33">
        <f>SCE_Ds[[#This Row],[With Margins ($)]]-SCE_Ds[[#This Row],[ without Margins ( $)]]</f>
        <v>3.7000000000000033E-2</v>
      </c>
      <c r="G327" s="11" t="str">
        <f>IF(E326&lt;0.5,"Low", "High")</f>
        <v>Low</v>
      </c>
      <c r="H327" s="9">
        <f>SCE_Ds[[#This Row],[Margins ($)]]/SCE_Ds[[#This Row],[With Margins ($)]]</f>
        <v>4.6077210460772101E-2</v>
      </c>
    </row>
    <row r="328" spans="1:8" x14ac:dyDescent="0.3">
      <c r="A328">
        <v>333995</v>
      </c>
      <c r="B328" t="s">
        <v>418</v>
      </c>
      <c r="C328" s="33">
        <v>0.182</v>
      </c>
      <c r="D328" s="33">
        <v>2.1000000000000001E-2</v>
      </c>
      <c r="E328" s="33">
        <v>0.20200000000000001</v>
      </c>
      <c r="F328" s="33">
        <f>SCE_Ds[[#This Row],[With Margins ($)]]-SCE_Ds[[#This Row],[ without Margins ( $)]]</f>
        <v>2.0000000000000018E-2</v>
      </c>
      <c r="G328" s="11" t="str">
        <f>IF(E327&lt;0.5,"Low", "High")</f>
        <v>High</v>
      </c>
      <c r="H328" s="9">
        <f>SCE_Ds[[#This Row],[Margins ($)]]/SCE_Ds[[#This Row],[With Margins ($)]]</f>
        <v>0.10396039603960396</v>
      </c>
    </row>
    <row r="329" spans="1:8" x14ac:dyDescent="0.3">
      <c r="A329">
        <v>333996</v>
      </c>
      <c r="B329" t="s">
        <v>420</v>
      </c>
      <c r="C329" s="33">
        <v>0.182</v>
      </c>
      <c r="D329" s="33">
        <v>2.1000000000000001E-2</v>
      </c>
      <c r="E329" s="33">
        <v>0.20200000000000001</v>
      </c>
      <c r="F329" s="33">
        <f>SCE_Ds[[#This Row],[With Margins ($)]]-SCE_Ds[[#This Row],[ without Margins ( $)]]</f>
        <v>2.0000000000000018E-2</v>
      </c>
      <c r="G329" s="11" t="str">
        <f>IF(E328&lt;0.5,"Low", "High")</f>
        <v>Low</v>
      </c>
      <c r="H329" s="9">
        <f>SCE_Ds[[#This Row],[Margins ($)]]/SCE_Ds[[#This Row],[With Margins ($)]]</f>
        <v>0.10396039603960396</v>
      </c>
    </row>
    <row r="330" spans="1:8" x14ac:dyDescent="0.3">
      <c r="A330">
        <v>332912</v>
      </c>
      <c r="B330" t="s">
        <v>370</v>
      </c>
      <c r="C330" s="33">
        <v>0.14599999999999999</v>
      </c>
      <c r="D330" s="33">
        <v>2.7E-2</v>
      </c>
      <c r="E330" s="33">
        <v>0.17299999999999999</v>
      </c>
      <c r="F330" s="33">
        <f>SCE_Ds[[#This Row],[With Margins ($)]]-SCE_Ds[[#This Row],[ without Margins ( $)]]</f>
        <v>2.6999999999999996E-2</v>
      </c>
      <c r="G330" s="11" t="str">
        <f>IF(E329&lt;0.5,"Low", "High")</f>
        <v>Low</v>
      </c>
      <c r="H330" s="9">
        <f>SCE_Ds[[#This Row],[Margins ($)]]/SCE_Ds[[#This Row],[With Margins ($)]]</f>
        <v>0.15606936416184972</v>
      </c>
    </row>
    <row r="331" spans="1:8" x14ac:dyDescent="0.3">
      <c r="A331">
        <v>322212</v>
      </c>
      <c r="B331" t="s">
        <v>243</v>
      </c>
      <c r="C331" s="33">
        <v>0.44900000000000001</v>
      </c>
      <c r="D331" s="33">
        <v>0.03</v>
      </c>
      <c r="E331" s="33">
        <v>0.47899999999999998</v>
      </c>
      <c r="F331" s="33">
        <f>SCE_Ds[[#This Row],[With Margins ($)]]-SCE_Ds[[#This Row],[ without Margins ( $)]]</f>
        <v>2.9999999999999971E-2</v>
      </c>
      <c r="G331" s="11" t="str">
        <f>IF(E330&lt;0.5,"Low", "High")</f>
        <v>Low</v>
      </c>
      <c r="H331" s="9">
        <f>SCE_Ds[[#This Row],[Margins ($)]]/SCE_Ds[[#This Row],[With Margins ($)]]</f>
        <v>6.2630480167014613E-2</v>
      </c>
    </row>
    <row r="332" spans="1:8" x14ac:dyDescent="0.3">
      <c r="A332">
        <v>446191</v>
      </c>
      <c r="B332" t="s">
        <v>631</v>
      </c>
      <c r="C332" s="33">
        <v>0.13</v>
      </c>
      <c r="D332" s="33">
        <v>0</v>
      </c>
      <c r="E332" s="33">
        <v>0.13</v>
      </c>
      <c r="F332" s="33">
        <f>SCE_Ds[[#This Row],[With Margins ($)]]-SCE_Ds[[#This Row],[ without Margins ( $)]]</f>
        <v>0</v>
      </c>
      <c r="G332" s="11" t="str">
        <f>IF(E331&lt;0.5,"Low", "High")</f>
        <v>Low</v>
      </c>
      <c r="H332" s="9">
        <f>SCE_Ds[[#This Row],[Margins ($)]]/SCE_Ds[[#This Row],[With Margins ($)]]</f>
        <v>0</v>
      </c>
    </row>
    <row r="333" spans="1:8" x14ac:dyDescent="0.3">
      <c r="A333">
        <v>333241</v>
      </c>
      <c r="B333" t="s">
        <v>385</v>
      </c>
      <c r="C333" s="33">
        <v>0.16600000000000001</v>
      </c>
      <c r="D333" s="33">
        <v>1.9E-2</v>
      </c>
      <c r="E333" s="33">
        <v>0.185</v>
      </c>
      <c r="F333" s="33">
        <f>SCE_Ds[[#This Row],[With Margins ($)]]-SCE_Ds[[#This Row],[ without Margins ( $)]]</f>
        <v>1.8999999999999989E-2</v>
      </c>
      <c r="G333" s="11" t="str">
        <f>IF(E332&lt;0.5,"Low", "High")</f>
        <v>Low</v>
      </c>
      <c r="H333" s="9">
        <f>SCE_Ds[[#This Row],[Margins ($)]]/SCE_Ds[[#This Row],[With Margins ($)]]</f>
        <v>0.10270270270270269</v>
      </c>
    </row>
    <row r="334" spans="1:8" x14ac:dyDescent="0.3">
      <c r="A334">
        <v>722310</v>
      </c>
      <c r="B334" t="s">
        <v>1023</v>
      </c>
      <c r="C334" s="33">
        <v>0.13200000000000001</v>
      </c>
      <c r="D334" s="33">
        <v>0</v>
      </c>
      <c r="E334" s="33">
        <v>0.13200000000000001</v>
      </c>
      <c r="F334" s="33">
        <f>SCE_Ds[[#This Row],[With Margins ($)]]-SCE_Ds[[#This Row],[ without Margins ( $)]]</f>
        <v>0</v>
      </c>
      <c r="G334" s="11" t="str">
        <f>IF(E333&lt;0.5,"Low", "High")</f>
        <v>Low</v>
      </c>
      <c r="H334" s="9">
        <f>SCE_Ds[[#This Row],[Margins ($)]]/SCE_Ds[[#This Row],[With Margins ($)]]</f>
        <v>0</v>
      </c>
    </row>
    <row r="335" spans="1:8" x14ac:dyDescent="0.3">
      <c r="A335">
        <v>811430</v>
      </c>
      <c r="B335" t="s">
        <v>1049</v>
      </c>
      <c r="C335" s="33">
        <v>0.113</v>
      </c>
      <c r="D335" s="33">
        <v>0</v>
      </c>
      <c r="E335" s="33">
        <v>0.113</v>
      </c>
      <c r="F335" s="33">
        <f>SCE_Ds[[#This Row],[With Margins ($)]]-SCE_Ds[[#This Row],[ without Margins ( $)]]</f>
        <v>0</v>
      </c>
      <c r="G335" s="11" t="str">
        <f>IF(E334&lt;0.5,"Low", "High")</f>
        <v>Low</v>
      </c>
      <c r="H335" s="9">
        <f>SCE_Ds[[#This Row],[Margins ($)]]/SCE_Ds[[#This Row],[With Margins ($)]]</f>
        <v>0</v>
      </c>
    </row>
    <row r="336" spans="1:8" x14ac:dyDescent="0.3">
      <c r="A336">
        <v>316210</v>
      </c>
      <c r="B336" t="s">
        <v>220</v>
      </c>
      <c r="C336" s="33">
        <v>0.222</v>
      </c>
      <c r="D336" s="33">
        <v>0.06</v>
      </c>
      <c r="E336" s="33">
        <v>0.28199999999999997</v>
      </c>
      <c r="F336" s="33">
        <f>SCE_Ds[[#This Row],[With Margins ($)]]-SCE_Ds[[#This Row],[ without Margins ( $)]]</f>
        <v>5.999999999999997E-2</v>
      </c>
      <c r="G336" s="11" t="str">
        <f>IF(E335&lt;0.5,"Low", "High")</f>
        <v>Low</v>
      </c>
      <c r="H336" s="9">
        <f>SCE_Ds[[#This Row],[Margins ($)]]/SCE_Ds[[#This Row],[With Margins ($)]]</f>
        <v>0.21276595744680851</v>
      </c>
    </row>
    <row r="337" spans="1:8" x14ac:dyDescent="0.3">
      <c r="A337">
        <v>424340</v>
      </c>
      <c r="B337" t="s">
        <v>572</v>
      </c>
      <c r="C337" s="33">
        <v>0.14399999999999999</v>
      </c>
      <c r="D337" s="33">
        <v>0</v>
      </c>
      <c r="E337" s="33">
        <v>0.14399999999999999</v>
      </c>
      <c r="F337" s="33">
        <f>SCE_Ds[[#This Row],[With Margins ($)]]-SCE_Ds[[#This Row],[ without Margins ( $)]]</f>
        <v>0</v>
      </c>
      <c r="G337" s="11" t="str">
        <f>IF(E336&lt;0.5,"Low", "High")</f>
        <v>Low</v>
      </c>
      <c r="H337" s="9">
        <f>SCE_Ds[[#This Row],[Margins ($)]]/SCE_Ds[[#This Row],[With Margins ($)]]</f>
        <v>0</v>
      </c>
    </row>
    <row r="338" spans="1:8" x14ac:dyDescent="0.3">
      <c r="A338">
        <v>113210</v>
      </c>
      <c r="B338" t="s">
        <v>60</v>
      </c>
      <c r="C338" s="33">
        <v>0.19900000000000001</v>
      </c>
      <c r="D338" s="33">
        <v>4.4999999999999998E-2</v>
      </c>
      <c r="E338" s="33">
        <v>0.24299999999999999</v>
      </c>
      <c r="F338" s="33">
        <f>SCE_Ds[[#This Row],[With Margins ($)]]-SCE_Ds[[#This Row],[ without Margins ( $)]]</f>
        <v>4.3999999999999984E-2</v>
      </c>
      <c r="G338" s="11" t="str">
        <f>IF(E337&lt;0.5,"Low", "High")</f>
        <v>Low</v>
      </c>
      <c r="H338" s="9">
        <f>SCE_Ds[[#This Row],[Margins ($)]]/SCE_Ds[[#This Row],[With Margins ($)]]</f>
        <v>0.18518518518518517</v>
      </c>
    </row>
    <row r="339" spans="1:8" x14ac:dyDescent="0.3">
      <c r="A339">
        <v>532281</v>
      </c>
      <c r="B339" t="s">
        <v>819</v>
      </c>
      <c r="C339" s="33">
        <v>0.10199999999999999</v>
      </c>
      <c r="D339" s="33">
        <v>0</v>
      </c>
      <c r="E339" s="33">
        <v>0.10199999999999999</v>
      </c>
      <c r="F339" s="33">
        <f>SCE_Ds[[#This Row],[With Margins ($)]]-SCE_Ds[[#This Row],[ without Margins ( $)]]</f>
        <v>0</v>
      </c>
      <c r="G339" s="11" t="str">
        <f>IF(E338&lt;0.5,"Low", "High")</f>
        <v>Low</v>
      </c>
      <c r="H339" s="9">
        <f>SCE_Ds[[#This Row],[Margins ($)]]/SCE_Ds[[#This Row],[With Margins ($)]]</f>
        <v>0</v>
      </c>
    </row>
    <row r="340" spans="1:8" x14ac:dyDescent="0.3">
      <c r="A340">
        <v>238130</v>
      </c>
      <c r="B340" t="s">
        <v>130</v>
      </c>
      <c r="C340" s="33">
        <v>0.221</v>
      </c>
      <c r="D340" s="33">
        <v>0</v>
      </c>
      <c r="E340" s="33">
        <v>0.221</v>
      </c>
      <c r="F340" s="33">
        <f>SCE_Ds[[#This Row],[With Margins ($)]]-SCE_Ds[[#This Row],[ without Margins ( $)]]</f>
        <v>0</v>
      </c>
      <c r="G340" s="11" t="str">
        <f>IF(E339&lt;0.5,"Low", "High")</f>
        <v>Low</v>
      </c>
      <c r="H340" s="9">
        <f>SCE_Ds[[#This Row],[Margins ($)]]/SCE_Ds[[#This Row],[With Margins ($)]]</f>
        <v>0</v>
      </c>
    </row>
    <row r="341" spans="1:8" x14ac:dyDescent="0.3">
      <c r="A341">
        <v>621493</v>
      </c>
      <c r="B341" t="s">
        <v>961</v>
      </c>
      <c r="C341" s="33">
        <v>9.6000000000000002E-2</v>
      </c>
      <c r="D341" s="33">
        <v>0</v>
      </c>
      <c r="E341" s="33">
        <v>9.6000000000000002E-2</v>
      </c>
      <c r="F341" s="33">
        <f>SCE_Ds[[#This Row],[With Margins ($)]]-SCE_Ds[[#This Row],[ without Margins ( $)]]</f>
        <v>0</v>
      </c>
      <c r="G341" s="11" t="str">
        <f>IF(E340&lt;0.5,"Low", "High")</f>
        <v>Low</v>
      </c>
      <c r="H341" s="9">
        <f>SCE_Ds[[#This Row],[Margins ($)]]/SCE_Ds[[#This Row],[With Margins ($)]]</f>
        <v>0</v>
      </c>
    </row>
    <row r="342" spans="1:8" x14ac:dyDescent="0.3">
      <c r="A342">
        <v>488510</v>
      </c>
      <c r="B342" t="s">
        <v>714</v>
      </c>
      <c r="C342" s="33">
        <v>0.16200000000000001</v>
      </c>
      <c r="D342" s="33">
        <v>0</v>
      </c>
      <c r="E342" s="33">
        <v>0.16200000000000001</v>
      </c>
      <c r="F342" s="33">
        <f>SCE_Ds[[#This Row],[With Margins ($)]]-SCE_Ds[[#This Row],[ without Margins ( $)]]</f>
        <v>0</v>
      </c>
      <c r="G342" s="11" t="str">
        <f>IF(E341&lt;0.5,"Low", "High")</f>
        <v>Low</v>
      </c>
      <c r="H342" s="9">
        <f>SCE_Ds[[#This Row],[Margins ($)]]/SCE_Ds[[#This Row],[With Margins ($)]]</f>
        <v>0</v>
      </c>
    </row>
    <row r="343" spans="1:8" x14ac:dyDescent="0.3">
      <c r="A343">
        <v>424480</v>
      </c>
      <c r="B343" t="s">
        <v>580</v>
      </c>
      <c r="C343" s="33">
        <v>0.159</v>
      </c>
      <c r="D343" s="33">
        <v>0</v>
      </c>
      <c r="E343" s="33">
        <v>0.159</v>
      </c>
      <c r="F343" s="33">
        <f>SCE_Ds[[#This Row],[With Margins ($)]]-SCE_Ds[[#This Row],[ without Margins ( $)]]</f>
        <v>0</v>
      </c>
      <c r="G343" s="11" t="str">
        <f>IF(E342&lt;0.5,"Low", "High")</f>
        <v>Low</v>
      </c>
      <c r="H343" s="9">
        <f>SCE_Ds[[#This Row],[Margins ($)]]/SCE_Ds[[#This Row],[With Margins ($)]]</f>
        <v>0</v>
      </c>
    </row>
    <row r="344" spans="1:8" x14ac:dyDescent="0.3">
      <c r="A344">
        <v>311813</v>
      </c>
      <c r="B344" t="s">
        <v>180</v>
      </c>
      <c r="C344" s="33">
        <v>0.21299999999999999</v>
      </c>
      <c r="D344" s="33">
        <v>0.04</v>
      </c>
      <c r="E344" s="33">
        <v>0.253</v>
      </c>
      <c r="F344" s="33">
        <f>SCE_Ds[[#This Row],[With Margins ($)]]-SCE_Ds[[#This Row],[ without Margins ( $)]]</f>
        <v>4.0000000000000008E-2</v>
      </c>
      <c r="G344" s="11" t="str">
        <f>IF(E343&lt;0.5,"Low", "High")</f>
        <v>Low</v>
      </c>
      <c r="H344" s="9">
        <f>SCE_Ds[[#This Row],[Margins ($)]]/SCE_Ds[[#This Row],[With Margins ($)]]</f>
        <v>0.15810276679841898</v>
      </c>
    </row>
    <row r="345" spans="1:8" x14ac:dyDescent="0.3">
      <c r="A345">
        <v>311411</v>
      </c>
      <c r="B345" t="s">
        <v>161</v>
      </c>
      <c r="C345" s="33">
        <v>0.438</v>
      </c>
      <c r="D345" s="33">
        <v>4.7E-2</v>
      </c>
      <c r="E345" s="33">
        <v>0.48499999999999999</v>
      </c>
      <c r="F345" s="33">
        <f>SCE_Ds[[#This Row],[With Margins ($)]]-SCE_Ds[[#This Row],[ without Margins ( $)]]</f>
        <v>4.6999999999999986E-2</v>
      </c>
      <c r="G345" s="11" t="str">
        <f>IF(E344&lt;0.5,"Low", "High")</f>
        <v>Low</v>
      </c>
      <c r="H345" s="9">
        <f>SCE_Ds[[#This Row],[Margins ($)]]/SCE_Ds[[#This Row],[With Margins ($)]]</f>
        <v>9.6907216494845363E-2</v>
      </c>
    </row>
    <row r="346" spans="1:8" x14ac:dyDescent="0.3">
      <c r="A346">
        <v>311412</v>
      </c>
      <c r="B346" t="s">
        <v>162</v>
      </c>
      <c r="C346" s="33">
        <v>0.438</v>
      </c>
      <c r="D346" s="33">
        <v>4.7E-2</v>
      </c>
      <c r="E346" s="33">
        <v>0.48499999999999999</v>
      </c>
      <c r="F346" s="33">
        <f>SCE_Ds[[#This Row],[With Margins ($)]]-SCE_Ds[[#This Row],[ without Margins ( $)]]</f>
        <v>4.6999999999999986E-2</v>
      </c>
      <c r="G346" s="11" t="str">
        <f>IF(E345&lt;0.5,"Low", "High")</f>
        <v>Low</v>
      </c>
      <c r="H346" s="9">
        <f>SCE_Ds[[#This Row],[Margins ($)]]/SCE_Ds[[#This Row],[With Margins ($)]]</f>
        <v>9.6907216494845363E-2</v>
      </c>
    </row>
    <row r="347" spans="1:8" x14ac:dyDescent="0.3">
      <c r="A347">
        <v>111336</v>
      </c>
      <c r="B347" t="s">
        <v>25</v>
      </c>
      <c r="C347" s="33">
        <v>0.42899999999999999</v>
      </c>
      <c r="D347" s="33">
        <v>5.8999999999999997E-2</v>
      </c>
      <c r="E347" s="33">
        <v>0.48799999999999999</v>
      </c>
      <c r="F347" s="33">
        <f>SCE_Ds[[#This Row],[With Margins ($)]]-SCE_Ds[[#This Row],[ without Margins ( $)]]</f>
        <v>5.8999999999999997E-2</v>
      </c>
      <c r="G347" s="11" t="str">
        <f>IF(E346&lt;0.5,"Low", "High")</f>
        <v>Low</v>
      </c>
      <c r="H347" s="9">
        <f>SCE_Ds[[#This Row],[Margins ($)]]/SCE_Ds[[#This Row],[With Margins ($)]]</f>
        <v>0.12090163934426229</v>
      </c>
    </row>
    <row r="348" spans="1:8" x14ac:dyDescent="0.3">
      <c r="A348">
        <v>311421</v>
      </c>
      <c r="B348" t="s">
        <v>163</v>
      </c>
      <c r="C348" s="33">
        <v>0.34300000000000003</v>
      </c>
      <c r="D348" s="33">
        <v>3.7999999999999999E-2</v>
      </c>
      <c r="E348" s="33">
        <v>0.38100000000000001</v>
      </c>
      <c r="F348" s="33">
        <f>SCE_Ds[[#This Row],[With Margins ($)]]-SCE_Ds[[#This Row],[ without Margins ( $)]]</f>
        <v>3.7999999999999978E-2</v>
      </c>
      <c r="G348" s="11" t="str">
        <f>IF(E347&lt;0.5,"Low", "High")</f>
        <v>Low</v>
      </c>
      <c r="H348" s="9">
        <f>SCE_Ds[[#This Row],[Margins ($)]]/SCE_Ds[[#This Row],[With Margins ($)]]</f>
        <v>9.9737532808398949E-2</v>
      </c>
    </row>
    <row r="349" spans="1:8" x14ac:dyDescent="0.3">
      <c r="A349">
        <v>445230</v>
      </c>
      <c r="B349" t="s">
        <v>623</v>
      </c>
      <c r="C349" s="33">
        <v>0.186</v>
      </c>
      <c r="D349" s="33">
        <v>0</v>
      </c>
      <c r="E349" s="33">
        <v>0.186</v>
      </c>
      <c r="F349" s="33">
        <f>SCE_Ds[[#This Row],[With Margins ($)]]-SCE_Ds[[#This Row],[ without Margins ( $)]]</f>
        <v>0</v>
      </c>
      <c r="G349" s="11" t="str">
        <f>IF(E348&lt;0.5,"Low", "High")</f>
        <v>Low</v>
      </c>
      <c r="H349" s="9">
        <f>SCE_Ds[[#This Row],[Margins ($)]]/SCE_Ds[[#This Row],[With Margins ($)]]</f>
        <v>0</v>
      </c>
    </row>
    <row r="350" spans="1:8" x14ac:dyDescent="0.3">
      <c r="A350">
        <v>454310</v>
      </c>
      <c r="B350" t="s">
        <v>664</v>
      </c>
      <c r="C350" s="33">
        <v>9.4E-2</v>
      </c>
      <c r="D350" s="33">
        <v>0</v>
      </c>
      <c r="E350" s="33">
        <v>9.4E-2</v>
      </c>
      <c r="F350" s="33">
        <f>SCE_Ds[[#This Row],[With Margins ($)]]-SCE_Ds[[#This Row],[ without Margins ( $)]]</f>
        <v>0</v>
      </c>
      <c r="G350" s="11" t="str">
        <f>IF(E349&lt;0.5,"Low", "High")</f>
        <v>Low</v>
      </c>
      <c r="H350" s="9">
        <f>SCE_Ds[[#This Row],[Margins ($)]]/SCE_Ds[[#This Row],[With Margins ($)]]</f>
        <v>0</v>
      </c>
    </row>
    <row r="351" spans="1:8" x14ac:dyDescent="0.3">
      <c r="A351">
        <v>722511</v>
      </c>
      <c r="B351" t="s">
        <v>1028</v>
      </c>
      <c r="C351" s="33">
        <v>0.19400000000000001</v>
      </c>
      <c r="D351" s="33">
        <v>0</v>
      </c>
      <c r="E351" s="33">
        <v>0.19400000000000001</v>
      </c>
      <c r="F351" s="33">
        <f>SCE_Ds[[#This Row],[With Margins ($)]]-SCE_Ds[[#This Row],[ without Margins ( $)]]</f>
        <v>0</v>
      </c>
      <c r="G351" s="11" t="str">
        <f>IF(E350&lt;0.5,"Low", "High")</f>
        <v>Low</v>
      </c>
      <c r="H351" s="9">
        <f>SCE_Ds[[#This Row],[Margins ($)]]/SCE_Ds[[#This Row],[With Margins ($)]]</f>
        <v>0</v>
      </c>
    </row>
    <row r="352" spans="1:8" x14ac:dyDescent="0.3">
      <c r="A352">
        <v>812210</v>
      </c>
      <c r="B352" t="s">
        <v>1056</v>
      </c>
      <c r="C352" s="33">
        <v>4.7E-2</v>
      </c>
      <c r="D352" s="33">
        <v>0</v>
      </c>
      <c r="E352" s="33">
        <v>4.7E-2</v>
      </c>
      <c r="F352" s="33">
        <f>SCE_Ds[[#This Row],[With Margins ($)]]-SCE_Ds[[#This Row],[ without Margins ( $)]]</f>
        <v>0</v>
      </c>
      <c r="G352" s="11" t="str">
        <f>IF(E351&lt;0.5,"Low", "High")</f>
        <v>Low</v>
      </c>
      <c r="H352" s="9">
        <f>SCE_Ds[[#This Row],[Margins ($)]]/SCE_Ds[[#This Row],[With Margins ($)]]</f>
        <v>0</v>
      </c>
    </row>
    <row r="353" spans="1:8" x14ac:dyDescent="0.3">
      <c r="A353">
        <v>112930</v>
      </c>
      <c r="B353" t="s">
        <v>57</v>
      </c>
      <c r="C353" s="33">
        <v>1.077</v>
      </c>
      <c r="D353" s="34">
        <v>5.0999999999999997E-2</v>
      </c>
      <c r="E353" s="33">
        <v>1.1279999999999999</v>
      </c>
      <c r="F353" s="33">
        <f>SCE_Ds[[#This Row],[With Margins ($)]]-SCE_Ds[[#This Row],[ without Margins ( $)]]</f>
        <v>5.0999999999999934E-2</v>
      </c>
      <c r="G353" s="11" t="str">
        <f>IF(E352&lt;0.5,"Low", "High")</f>
        <v>Low</v>
      </c>
      <c r="H353" s="9">
        <f>SCE_Ds[[#This Row],[Margins ($)]]/SCE_Ds[[#This Row],[With Margins ($)]]</f>
        <v>4.5212765957446811E-2</v>
      </c>
    </row>
    <row r="354" spans="1:8" x14ac:dyDescent="0.3">
      <c r="A354">
        <v>423210</v>
      </c>
      <c r="B354" t="s">
        <v>530</v>
      </c>
      <c r="C354" s="33">
        <v>0.108</v>
      </c>
      <c r="D354" s="33">
        <v>0</v>
      </c>
      <c r="E354" s="33">
        <v>0.108</v>
      </c>
      <c r="F354" s="33">
        <f>SCE_Ds[[#This Row],[With Margins ($)]]-SCE_Ds[[#This Row],[ without Margins ( $)]]</f>
        <v>0</v>
      </c>
      <c r="G354" s="11" t="str">
        <f>IF(E353&lt;0.5,"Low", "High")</f>
        <v>High</v>
      </c>
      <c r="H354" s="9">
        <f>SCE_Ds[[#This Row],[Margins ($)]]/SCE_Ds[[#This Row],[With Margins ($)]]</f>
        <v>0</v>
      </c>
    </row>
    <row r="355" spans="1:8" x14ac:dyDescent="0.3">
      <c r="A355">
        <v>442110</v>
      </c>
      <c r="B355" t="s">
        <v>606</v>
      </c>
      <c r="C355" s="33">
        <v>0.111</v>
      </c>
      <c r="D355" s="33">
        <v>0</v>
      </c>
      <c r="E355" s="33">
        <v>0.111</v>
      </c>
      <c r="F355" s="33">
        <f>SCE_Ds[[#This Row],[With Margins ($)]]-SCE_Ds[[#This Row],[ without Margins ( $)]]</f>
        <v>0</v>
      </c>
      <c r="G355" s="11" t="str">
        <f>IF(E354&lt;0.5,"Low", "High")</f>
        <v>Low</v>
      </c>
      <c r="H355" s="9">
        <f>SCE_Ds[[#This Row],[Margins ($)]]/SCE_Ds[[#This Row],[With Margins ($)]]</f>
        <v>0</v>
      </c>
    </row>
    <row r="356" spans="1:8" x14ac:dyDescent="0.3">
      <c r="A356">
        <v>339991</v>
      </c>
      <c r="B356" t="s">
        <v>520</v>
      </c>
      <c r="C356" s="33">
        <v>0.121</v>
      </c>
      <c r="D356" s="33">
        <v>6.0999999999999999E-2</v>
      </c>
      <c r="E356" s="33">
        <v>0.182</v>
      </c>
      <c r="F356" s="33">
        <f>SCE_Ds[[#This Row],[With Margins ($)]]-SCE_Ds[[#This Row],[ without Margins ( $)]]</f>
        <v>6.0999999999999999E-2</v>
      </c>
      <c r="G356" s="11" t="str">
        <f>IF(E355&lt;0.5,"Low", "High")</f>
        <v>Low</v>
      </c>
      <c r="H356" s="9">
        <f>SCE_Ds[[#This Row],[Margins ($)]]/SCE_Ds[[#This Row],[With Margins ($)]]</f>
        <v>0.33516483516483514</v>
      </c>
    </row>
    <row r="357" spans="1:8" x14ac:dyDescent="0.3">
      <c r="A357">
        <v>447110</v>
      </c>
      <c r="B357" t="s">
        <v>633</v>
      </c>
      <c r="C357" s="33">
        <v>0.183</v>
      </c>
      <c r="D357" s="33">
        <v>0</v>
      </c>
      <c r="E357" s="33">
        <v>0.183</v>
      </c>
      <c r="F357" s="33">
        <f>SCE_Ds[[#This Row],[With Margins ($)]]-SCE_Ds[[#This Row],[ without Margins ( $)]]</f>
        <v>0</v>
      </c>
      <c r="G357" s="11" t="str">
        <f>IF(E356&lt;0.5,"Low", "High")</f>
        <v>Low</v>
      </c>
      <c r="H357" s="9">
        <f>SCE_Ds[[#This Row],[Margins ($)]]/SCE_Ds[[#This Row],[With Margins ($)]]</f>
        <v>0</v>
      </c>
    </row>
    <row r="358" spans="1:8" x14ac:dyDescent="0.3">
      <c r="A358">
        <v>811111</v>
      </c>
      <c r="B358" t="s">
        <v>1032</v>
      </c>
      <c r="C358" s="33">
        <v>0.10299999999999999</v>
      </c>
      <c r="D358" s="33">
        <v>0</v>
      </c>
      <c r="E358" s="33">
        <v>0.10299999999999999</v>
      </c>
      <c r="F358" s="33">
        <f>SCE_Ds[[#This Row],[With Margins ($)]]-SCE_Ds[[#This Row],[ without Margins ( $)]]</f>
        <v>0</v>
      </c>
      <c r="G358" s="11" t="str">
        <f>IF(E357&lt;0.5,"Low", "High")</f>
        <v>Low</v>
      </c>
      <c r="H358" s="9">
        <f>SCE_Ds[[#This Row],[Margins ($)]]/SCE_Ds[[#This Row],[With Margins ($)]]</f>
        <v>0</v>
      </c>
    </row>
    <row r="359" spans="1:8" x14ac:dyDescent="0.3">
      <c r="A359">
        <v>484110</v>
      </c>
      <c r="B359" t="s">
        <v>679</v>
      </c>
      <c r="C359" s="33">
        <v>0.59499999999999997</v>
      </c>
      <c r="D359" s="34">
        <v>0</v>
      </c>
      <c r="E359" s="33">
        <v>0.59499999999999997</v>
      </c>
      <c r="F359" s="33">
        <f>SCE_Ds[[#This Row],[With Margins ($)]]-SCE_Ds[[#This Row],[ without Margins ( $)]]</f>
        <v>0</v>
      </c>
      <c r="G359" s="11" t="str">
        <f>IF(E358&lt;0.5,"Low", "High")</f>
        <v>Low</v>
      </c>
      <c r="H359" s="9">
        <f>SCE_Ds[[#This Row],[Margins ($)]]/SCE_Ds[[#This Row],[With Margins ($)]]</f>
        <v>0</v>
      </c>
    </row>
    <row r="360" spans="1:8" x14ac:dyDescent="0.3">
      <c r="A360">
        <v>484122</v>
      </c>
      <c r="B360" t="s">
        <v>681</v>
      </c>
      <c r="C360" s="33">
        <v>0.59499999999999997</v>
      </c>
      <c r="D360" s="34">
        <v>0</v>
      </c>
      <c r="E360" s="33">
        <v>0.59499999999999997</v>
      </c>
      <c r="F360" s="33">
        <f>SCE_Ds[[#This Row],[With Margins ($)]]-SCE_Ds[[#This Row],[ without Margins ( $)]]</f>
        <v>0</v>
      </c>
      <c r="G360" s="11" t="str">
        <f>IF(E359&lt;0.5,"Low", "High")</f>
        <v>High</v>
      </c>
      <c r="H360" s="9">
        <f>SCE_Ds[[#This Row],[Margins ($)]]/SCE_Ds[[#This Row],[With Margins ($)]]</f>
        <v>0</v>
      </c>
    </row>
    <row r="361" spans="1:8" x14ac:dyDescent="0.3">
      <c r="A361">
        <v>484121</v>
      </c>
      <c r="B361" t="s">
        <v>680</v>
      </c>
      <c r="C361" s="33">
        <v>0.59499999999999997</v>
      </c>
      <c r="D361" s="34">
        <v>0</v>
      </c>
      <c r="E361" s="33">
        <v>0.59499999999999997</v>
      </c>
      <c r="F361" s="33">
        <f>SCE_Ds[[#This Row],[With Margins ($)]]-SCE_Ds[[#This Row],[ without Margins ( $)]]</f>
        <v>0</v>
      </c>
      <c r="G361" s="11" t="str">
        <f>IF(E360&lt;0.5,"Low", "High")</f>
        <v>High</v>
      </c>
      <c r="H361" s="9">
        <f>SCE_Ds[[#This Row],[Margins ($)]]/SCE_Ds[[#This Row],[With Margins ($)]]</f>
        <v>0</v>
      </c>
    </row>
    <row r="362" spans="1:8" x14ac:dyDescent="0.3">
      <c r="A362">
        <v>424410</v>
      </c>
      <c r="B362" t="s">
        <v>573</v>
      </c>
      <c r="C362" s="33">
        <v>0.159</v>
      </c>
      <c r="D362" s="33">
        <v>0</v>
      </c>
      <c r="E362" s="33">
        <v>0.159</v>
      </c>
      <c r="F362" s="33">
        <f>SCE_Ds[[#This Row],[With Margins ($)]]-SCE_Ds[[#This Row],[ without Margins ( $)]]</f>
        <v>0</v>
      </c>
      <c r="G362" s="11" t="str">
        <f>IF(E361&lt;0.5,"Low", "High")</f>
        <v>High</v>
      </c>
      <c r="H362" s="9">
        <f>SCE_Ds[[#This Row],[Margins ($)]]/SCE_Ds[[#This Row],[With Margins ($)]]</f>
        <v>0</v>
      </c>
    </row>
    <row r="363" spans="1:8" x14ac:dyDescent="0.3">
      <c r="A363">
        <v>622110</v>
      </c>
      <c r="B363" t="s">
        <v>969</v>
      </c>
      <c r="C363" s="33">
        <v>0.14499999999999999</v>
      </c>
      <c r="D363" s="33">
        <v>0</v>
      </c>
      <c r="E363" s="33">
        <v>0.14499999999999999</v>
      </c>
      <c r="F363" s="33">
        <f>SCE_Ds[[#This Row],[With Margins ($)]]-SCE_Ds[[#This Row],[ without Margins ( $)]]</f>
        <v>0</v>
      </c>
      <c r="G363" s="11" t="str">
        <f>IF(E362&lt;0.5,"Low", "High")</f>
        <v>Low</v>
      </c>
      <c r="H363" s="9">
        <f>SCE_Ds[[#This Row],[Margins ($)]]/SCE_Ds[[#This Row],[With Margins ($)]]</f>
        <v>0</v>
      </c>
    </row>
    <row r="364" spans="1:8" x14ac:dyDescent="0.3">
      <c r="A364">
        <v>532310</v>
      </c>
      <c r="B364" t="s">
        <v>824</v>
      </c>
      <c r="C364" s="33">
        <v>0.10199999999999999</v>
      </c>
      <c r="D364" s="33">
        <v>0</v>
      </c>
      <c r="E364" s="33">
        <v>0.10199999999999999</v>
      </c>
      <c r="F364" s="33">
        <f>SCE_Ds[[#This Row],[With Margins ($)]]-SCE_Ds[[#This Row],[ without Margins ( $)]]</f>
        <v>0</v>
      </c>
      <c r="G364" s="11" t="str">
        <f>IF(E363&lt;0.5,"Low", "High")</f>
        <v>Low</v>
      </c>
      <c r="H364" s="9">
        <f>SCE_Ds[[#This Row],[Margins ($)]]/SCE_Ds[[#This Row],[With Margins ($)]]</f>
        <v>0</v>
      </c>
    </row>
    <row r="365" spans="1:8" x14ac:dyDescent="0.3">
      <c r="A365">
        <v>493110</v>
      </c>
      <c r="B365" t="s">
        <v>720</v>
      </c>
      <c r="C365" s="33">
        <v>0.24399999999999999</v>
      </c>
      <c r="D365" s="33">
        <v>0</v>
      </c>
      <c r="E365" s="33">
        <v>0.24399999999999999</v>
      </c>
      <c r="F365" s="33">
        <f>SCE_Ds[[#This Row],[With Margins ($)]]-SCE_Ds[[#This Row],[ without Margins ( $)]]</f>
        <v>0</v>
      </c>
      <c r="G365" s="11" t="str">
        <f>IF(E364&lt;0.5,"Low", "High")</f>
        <v>Low</v>
      </c>
      <c r="H365" s="9">
        <f>SCE_Ds[[#This Row],[Margins ($)]]/SCE_Ds[[#This Row],[With Margins ($)]]</f>
        <v>0</v>
      </c>
    </row>
    <row r="366" spans="1:8" x14ac:dyDescent="0.3">
      <c r="A366">
        <v>541360</v>
      </c>
      <c r="B366" t="s">
        <v>843</v>
      </c>
      <c r="C366" s="33">
        <v>0.10299999999999999</v>
      </c>
      <c r="D366" s="33">
        <v>0</v>
      </c>
      <c r="E366" s="33">
        <v>0.10299999999999999</v>
      </c>
      <c r="F366" s="33">
        <f>SCE_Ds[[#This Row],[With Margins ($)]]-SCE_Ds[[#This Row],[ without Margins ( $)]]</f>
        <v>0</v>
      </c>
      <c r="G366" s="11" t="str">
        <f>IF(E365&lt;0.5,"Low", "High")</f>
        <v>Low</v>
      </c>
      <c r="H366" s="9">
        <f>SCE_Ds[[#This Row],[Margins ($)]]/SCE_Ds[[#This Row],[With Margins ($)]]</f>
        <v>0</v>
      </c>
    </row>
    <row r="367" spans="1:8" x14ac:dyDescent="0.3">
      <c r="A367">
        <v>453220</v>
      </c>
      <c r="B367" t="s">
        <v>655</v>
      </c>
      <c r="C367" s="33">
        <v>0.111</v>
      </c>
      <c r="D367" s="33">
        <v>0</v>
      </c>
      <c r="E367" s="33">
        <v>0.111</v>
      </c>
      <c r="F367" s="33">
        <f>SCE_Ds[[#This Row],[With Margins ($)]]-SCE_Ds[[#This Row],[ without Margins ( $)]]</f>
        <v>0</v>
      </c>
      <c r="G367" s="11" t="str">
        <f>IF(E366&lt;0.5,"Low", "High")</f>
        <v>Low</v>
      </c>
      <c r="H367" s="9">
        <f>SCE_Ds[[#This Row],[Margins ($)]]/SCE_Ds[[#This Row],[With Margins ($)]]</f>
        <v>0</v>
      </c>
    </row>
    <row r="368" spans="1:8" x14ac:dyDescent="0.3">
      <c r="A368">
        <v>238150</v>
      </c>
      <c r="B368" t="s">
        <v>132</v>
      </c>
      <c r="C368" s="33">
        <v>0.221</v>
      </c>
      <c r="D368" s="33">
        <v>0</v>
      </c>
      <c r="E368" s="33">
        <v>0.221</v>
      </c>
      <c r="F368" s="33">
        <f>SCE_Ds[[#This Row],[With Margins ($)]]-SCE_Ds[[#This Row],[ without Margins ( $)]]</f>
        <v>0</v>
      </c>
      <c r="G368" s="11" t="str">
        <f>IF(E367&lt;0.5,"Low", "High")</f>
        <v>Low</v>
      </c>
      <c r="H368" s="9">
        <f>SCE_Ds[[#This Row],[Margins ($)]]/SCE_Ds[[#This Row],[With Margins ($)]]</f>
        <v>0</v>
      </c>
    </row>
    <row r="369" spans="1:8" x14ac:dyDescent="0.3">
      <c r="A369">
        <v>327213</v>
      </c>
      <c r="B369" t="s">
        <v>309</v>
      </c>
      <c r="C369" s="33">
        <v>0.53700000000000003</v>
      </c>
      <c r="D369" s="34">
        <v>0.06</v>
      </c>
      <c r="E369" s="33">
        <v>0.59699999999999998</v>
      </c>
      <c r="F369" s="33">
        <f>SCE_Ds[[#This Row],[With Margins ($)]]-SCE_Ds[[#This Row],[ without Margins ( $)]]</f>
        <v>5.9999999999999942E-2</v>
      </c>
      <c r="G369" s="11" t="str">
        <f>IF(E368&lt;0.5,"Low", "High")</f>
        <v>Low</v>
      </c>
      <c r="H369" s="9">
        <f>SCE_Ds[[#This Row],[Margins ($)]]/SCE_Ds[[#This Row],[With Margins ($)]]</f>
        <v>0.10050251256281408</v>
      </c>
    </row>
    <row r="370" spans="1:8" x14ac:dyDescent="0.3">
      <c r="A370">
        <v>327215</v>
      </c>
      <c r="B370" t="s">
        <v>310</v>
      </c>
      <c r="C370" s="33">
        <v>0.53700000000000003</v>
      </c>
      <c r="D370" s="34">
        <v>0.06</v>
      </c>
      <c r="E370" s="33">
        <v>0.59699999999999998</v>
      </c>
      <c r="F370" s="33">
        <f>SCE_Ds[[#This Row],[With Margins ($)]]-SCE_Ds[[#This Row],[ without Margins ( $)]]</f>
        <v>5.9999999999999942E-2</v>
      </c>
      <c r="G370" s="11" t="str">
        <f>IF(E369&lt;0.5,"Low", "High")</f>
        <v>High</v>
      </c>
      <c r="H370" s="9">
        <f>SCE_Ds[[#This Row],[Margins ($)]]/SCE_Ds[[#This Row],[With Margins ($)]]</f>
        <v>0.10050251256281408</v>
      </c>
    </row>
    <row r="371" spans="1:8" x14ac:dyDescent="0.3">
      <c r="A371">
        <v>112420</v>
      </c>
      <c r="B371" t="s">
        <v>51</v>
      </c>
      <c r="C371" s="33">
        <v>1.077</v>
      </c>
      <c r="D371" s="34">
        <v>5.0999999999999997E-2</v>
      </c>
      <c r="E371" s="33">
        <v>1.1279999999999999</v>
      </c>
      <c r="F371" s="33">
        <f>SCE_Ds[[#This Row],[With Margins ($)]]-SCE_Ds[[#This Row],[ without Margins ( $)]]</f>
        <v>5.0999999999999934E-2</v>
      </c>
      <c r="G371" s="11" t="str">
        <f>IF(E370&lt;0.5,"Low", "High")</f>
        <v>High</v>
      </c>
      <c r="H371" s="9">
        <f>SCE_Ds[[#This Row],[Margins ($)]]/SCE_Ds[[#This Row],[With Margins ($)]]</f>
        <v>4.5212765957446811E-2</v>
      </c>
    </row>
    <row r="372" spans="1:8" x14ac:dyDescent="0.3">
      <c r="A372">
        <v>212221</v>
      </c>
      <c r="B372" t="s">
        <v>81</v>
      </c>
      <c r="C372" s="33">
        <v>0.54</v>
      </c>
      <c r="D372" s="34">
        <v>5.3999999999999999E-2</v>
      </c>
      <c r="E372" s="33">
        <v>0.59299999999999997</v>
      </c>
      <c r="F372" s="33">
        <f>SCE_Ds[[#This Row],[With Margins ($)]]-SCE_Ds[[#This Row],[ without Margins ( $)]]</f>
        <v>5.2999999999999936E-2</v>
      </c>
      <c r="G372" s="11" t="str">
        <f>IF(E371&lt;0.5,"Low", "High")</f>
        <v>High</v>
      </c>
      <c r="H372" s="9">
        <f>SCE_Ds[[#This Row],[Margins ($)]]/SCE_Ds[[#This Row],[With Margins ($)]]</f>
        <v>9.1062394603709948E-2</v>
      </c>
    </row>
    <row r="373" spans="1:8" x14ac:dyDescent="0.3">
      <c r="A373">
        <v>713910</v>
      </c>
      <c r="B373" t="s">
        <v>1010</v>
      </c>
      <c r="C373" s="33">
        <v>0.23499999999999999</v>
      </c>
      <c r="D373" s="33">
        <v>0</v>
      </c>
      <c r="E373" s="33">
        <v>0.23499999999999999</v>
      </c>
      <c r="F373" s="33">
        <f>SCE_Ds[[#This Row],[With Margins ($)]]-SCE_Ds[[#This Row],[ without Margins ( $)]]</f>
        <v>0</v>
      </c>
      <c r="G373" s="11" t="str">
        <f>IF(E372&lt;0.5,"Low", "High")</f>
        <v>High</v>
      </c>
      <c r="H373" s="9">
        <f>SCE_Ds[[#This Row],[Margins ($)]]/SCE_Ds[[#This Row],[With Margins ($)]]</f>
        <v>0</v>
      </c>
    </row>
    <row r="374" spans="1:8" x14ac:dyDescent="0.3">
      <c r="A374">
        <v>424510</v>
      </c>
      <c r="B374" t="s">
        <v>582</v>
      </c>
      <c r="C374" s="33">
        <v>0.14399999999999999</v>
      </c>
      <c r="D374" s="33">
        <v>0</v>
      </c>
      <c r="E374" s="33">
        <v>0.14399999999999999</v>
      </c>
      <c r="F374" s="33">
        <f>SCE_Ds[[#This Row],[With Margins ($)]]-SCE_Ds[[#This Row],[ without Margins ( $)]]</f>
        <v>0</v>
      </c>
      <c r="G374" s="11" t="str">
        <f>IF(E373&lt;0.5,"Low", "High")</f>
        <v>Low</v>
      </c>
      <c r="H374" s="9">
        <f>SCE_Ds[[#This Row],[Margins ($)]]/SCE_Ds[[#This Row],[With Margins ($)]]</f>
        <v>0</v>
      </c>
    </row>
    <row r="375" spans="1:8" x14ac:dyDescent="0.3">
      <c r="A375">
        <v>813211</v>
      </c>
      <c r="B375" t="s">
        <v>1068</v>
      </c>
      <c r="C375" s="33">
        <v>5.8999999999999997E-2</v>
      </c>
      <c r="D375" s="33">
        <v>0</v>
      </c>
      <c r="E375" s="33">
        <v>5.8999999999999997E-2</v>
      </c>
      <c r="F375" s="33">
        <f>SCE_Ds[[#This Row],[With Margins ($)]]-SCE_Ds[[#This Row],[ without Margins ( $)]]</f>
        <v>0</v>
      </c>
      <c r="G375" s="11" t="str">
        <f>IF(E374&lt;0.5,"Low", "High")</f>
        <v>Low</v>
      </c>
      <c r="H375" s="9">
        <f>SCE_Ds[[#This Row],[Margins ($)]]/SCE_Ds[[#This Row],[With Margins ($)]]</f>
        <v>0</v>
      </c>
    </row>
    <row r="376" spans="1:8" x14ac:dyDescent="0.3">
      <c r="A376">
        <v>111332</v>
      </c>
      <c r="B376" t="s">
        <v>21</v>
      </c>
      <c r="C376" s="33">
        <v>0.42899999999999999</v>
      </c>
      <c r="D376" s="33">
        <v>5.8999999999999997E-2</v>
      </c>
      <c r="E376" s="33">
        <v>0.48799999999999999</v>
      </c>
      <c r="F376" s="33">
        <f>SCE_Ds[[#This Row],[With Margins ($)]]-SCE_Ds[[#This Row],[ without Margins ( $)]]</f>
        <v>5.8999999999999997E-2</v>
      </c>
      <c r="G376" s="11" t="str">
        <f>IF(E375&lt;0.5,"Low", "High")</f>
        <v>Low</v>
      </c>
      <c r="H376" s="9">
        <f>SCE_Ds[[#This Row],[Margins ($)]]/SCE_Ds[[#This Row],[With Margins ($)]]</f>
        <v>0.12090163934426229</v>
      </c>
    </row>
    <row r="377" spans="1:8" x14ac:dyDescent="0.3">
      <c r="A377">
        <v>541430</v>
      </c>
      <c r="B377" t="s">
        <v>848</v>
      </c>
      <c r="C377" s="33">
        <v>9.4E-2</v>
      </c>
      <c r="D377" s="33">
        <v>0</v>
      </c>
      <c r="E377" s="33">
        <v>9.4E-2</v>
      </c>
      <c r="F377" s="33">
        <f>SCE_Ds[[#This Row],[With Margins ($)]]-SCE_Ds[[#This Row],[ without Margins ( $)]]</f>
        <v>0</v>
      </c>
      <c r="G377" s="11" t="str">
        <f>IF(E376&lt;0.5,"Low", "High")</f>
        <v>Low</v>
      </c>
      <c r="H377" s="9">
        <f>SCE_Ds[[#This Row],[Margins ($)]]/SCE_Ds[[#This Row],[With Margins ($)]]</f>
        <v>0</v>
      </c>
    </row>
    <row r="378" spans="1:8" x14ac:dyDescent="0.3">
      <c r="A378">
        <v>511191</v>
      </c>
      <c r="B378" t="s">
        <v>729</v>
      </c>
      <c r="C378" s="33">
        <v>5.2999999999999999E-2</v>
      </c>
      <c r="D378" s="33">
        <v>5.5E-2</v>
      </c>
      <c r="E378" s="33">
        <v>0.108</v>
      </c>
      <c r="F378" s="33">
        <f>SCE_Ds[[#This Row],[With Margins ($)]]-SCE_Ds[[#This Row],[ without Margins ( $)]]</f>
        <v>5.5E-2</v>
      </c>
      <c r="G378" s="11" t="str">
        <f>IF(E377&lt;0.5,"Low", "High")</f>
        <v>Low</v>
      </c>
      <c r="H378" s="9">
        <f>SCE_Ds[[#This Row],[Margins ($)]]/SCE_Ds[[#This Row],[With Margins ($)]]</f>
        <v>0.5092592592592593</v>
      </c>
    </row>
    <row r="379" spans="1:8" x14ac:dyDescent="0.3">
      <c r="A379">
        <v>327992</v>
      </c>
      <c r="B379" t="s">
        <v>320</v>
      </c>
      <c r="C379" s="33">
        <v>0.375</v>
      </c>
      <c r="D379" s="33">
        <v>0.121</v>
      </c>
      <c r="E379" s="33">
        <v>0.497</v>
      </c>
      <c r="F379" s="33">
        <f>SCE_Ds[[#This Row],[With Margins ($)]]-SCE_Ds[[#This Row],[ without Margins ( $)]]</f>
        <v>0.122</v>
      </c>
      <c r="G379" s="11" t="str">
        <f>IF(E378&lt;0.5,"Low", "High")</f>
        <v>Low</v>
      </c>
      <c r="H379" s="9">
        <f>SCE_Ds[[#This Row],[Margins ($)]]/SCE_Ds[[#This Row],[With Margins ($)]]</f>
        <v>0.24346076458752514</v>
      </c>
    </row>
    <row r="380" spans="1:8" x14ac:dyDescent="0.3">
      <c r="A380">
        <v>336414</v>
      </c>
      <c r="B380" t="s">
        <v>486</v>
      </c>
      <c r="C380" s="33">
        <v>0.13300000000000001</v>
      </c>
      <c r="D380" s="33">
        <v>8.9999999999999993E-3</v>
      </c>
      <c r="E380" s="33">
        <v>0.14199999999999999</v>
      </c>
      <c r="F380" s="33">
        <f>SCE_Ds[[#This Row],[With Margins ($)]]-SCE_Ds[[#This Row],[ without Margins ( $)]]</f>
        <v>8.9999999999999802E-3</v>
      </c>
      <c r="G380" s="11" t="str">
        <f>IF(E379&lt;0.5,"Low", "High")</f>
        <v>Low</v>
      </c>
      <c r="H380" s="9">
        <f>SCE_Ds[[#This Row],[Margins ($)]]/SCE_Ds[[#This Row],[With Margins ($)]]</f>
        <v>6.3380281690140844E-2</v>
      </c>
    </row>
    <row r="381" spans="1:8" x14ac:dyDescent="0.3">
      <c r="A381">
        <v>336415</v>
      </c>
      <c r="B381" t="s">
        <v>487</v>
      </c>
      <c r="C381" s="33">
        <v>0.28599999999999998</v>
      </c>
      <c r="D381" s="33">
        <v>7.0000000000000001E-3</v>
      </c>
      <c r="E381" s="33">
        <v>0.29399999999999998</v>
      </c>
      <c r="F381" s="33">
        <f>SCE_Ds[[#This Row],[With Margins ($)]]-SCE_Ds[[#This Row],[ without Margins ( $)]]</f>
        <v>8.0000000000000071E-3</v>
      </c>
      <c r="G381" s="11" t="str">
        <f>IF(E380&lt;0.5,"Low", "High")</f>
        <v>Low</v>
      </c>
      <c r="H381" s="9">
        <f>SCE_Ds[[#This Row],[Margins ($)]]/SCE_Ds[[#This Row],[With Margins ($)]]</f>
        <v>2.3809523809523812E-2</v>
      </c>
    </row>
    <row r="382" spans="1:8" x14ac:dyDescent="0.3">
      <c r="A382">
        <v>327420</v>
      </c>
      <c r="B382" t="s">
        <v>317</v>
      </c>
      <c r="C382" s="33">
        <v>1.56</v>
      </c>
      <c r="D382" s="34">
        <v>6.3E-2</v>
      </c>
      <c r="E382" s="33">
        <v>1.623</v>
      </c>
      <c r="F382" s="33">
        <f>SCE_Ds[[#This Row],[With Margins ($)]]-SCE_Ds[[#This Row],[ without Margins ( $)]]</f>
        <v>6.2999999999999945E-2</v>
      </c>
      <c r="G382" s="11" t="str">
        <f>IF(E381&lt;0.5,"Low", "High")</f>
        <v>Low</v>
      </c>
      <c r="H382" s="9">
        <f>SCE_Ds[[#This Row],[Margins ($)]]/SCE_Ds[[#This Row],[With Margins ($)]]</f>
        <v>3.8817005545286505E-2</v>
      </c>
    </row>
    <row r="383" spans="1:8" x14ac:dyDescent="0.3">
      <c r="A383">
        <v>332510</v>
      </c>
      <c r="B383" t="s">
        <v>359</v>
      </c>
      <c r="C383" s="33">
        <v>0.157</v>
      </c>
      <c r="D383" s="33">
        <v>3.4000000000000002E-2</v>
      </c>
      <c r="E383" s="33">
        <v>0.191</v>
      </c>
      <c r="F383" s="33">
        <f>SCE_Ds[[#This Row],[With Margins ($)]]-SCE_Ds[[#This Row],[ without Margins ( $)]]</f>
        <v>3.4000000000000002E-2</v>
      </c>
      <c r="G383" s="11" t="str">
        <f>IF(E382&lt;0.5,"Low", "High")</f>
        <v>High</v>
      </c>
      <c r="H383" s="9">
        <f>SCE_Ds[[#This Row],[Margins ($)]]/SCE_Ds[[#This Row],[With Margins ($)]]</f>
        <v>0.1780104712041885</v>
      </c>
    </row>
    <row r="384" spans="1:8" x14ac:dyDescent="0.3">
      <c r="A384">
        <v>423710</v>
      </c>
      <c r="B384" t="s">
        <v>549</v>
      </c>
      <c r="C384" s="33">
        <v>0.108</v>
      </c>
      <c r="D384" s="33">
        <v>0</v>
      </c>
      <c r="E384" s="33">
        <v>0.108</v>
      </c>
      <c r="F384" s="33">
        <f>SCE_Ds[[#This Row],[With Margins ($)]]-SCE_Ds[[#This Row],[ without Margins ( $)]]</f>
        <v>0</v>
      </c>
      <c r="G384" s="11" t="str">
        <f>IF(E383&lt;0.5,"Low", "High")</f>
        <v>Low</v>
      </c>
      <c r="H384" s="9">
        <f>SCE_Ds[[#This Row],[Margins ($)]]/SCE_Ds[[#This Row],[With Margins ($)]]</f>
        <v>0</v>
      </c>
    </row>
    <row r="385" spans="1:8" x14ac:dyDescent="0.3">
      <c r="A385">
        <v>444130</v>
      </c>
      <c r="B385" t="s">
        <v>615</v>
      </c>
      <c r="C385" s="33">
        <v>8.6999999999999994E-2</v>
      </c>
      <c r="D385" s="33">
        <v>0</v>
      </c>
      <c r="E385" s="33">
        <v>8.6999999999999994E-2</v>
      </c>
      <c r="F385" s="33">
        <f>SCE_Ds[[#This Row],[With Margins ($)]]-SCE_Ds[[#This Row],[ without Margins ( $)]]</f>
        <v>0</v>
      </c>
      <c r="G385" s="11" t="str">
        <f>IF(E384&lt;0.5,"Low", "High")</f>
        <v>Low</v>
      </c>
      <c r="H385" s="9">
        <f>SCE_Ds[[#This Row],[Margins ($)]]/SCE_Ds[[#This Row],[With Margins ($)]]</f>
        <v>0</v>
      </c>
    </row>
    <row r="386" spans="1:8" x14ac:dyDescent="0.3">
      <c r="A386">
        <v>321211</v>
      </c>
      <c r="B386" t="s">
        <v>225</v>
      </c>
      <c r="C386" s="33">
        <v>0.187</v>
      </c>
      <c r="D386" s="33">
        <v>2.1000000000000001E-2</v>
      </c>
      <c r="E386" s="33">
        <v>0.20799999999999999</v>
      </c>
      <c r="F386" s="33">
        <f>SCE_Ds[[#This Row],[With Margins ($)]]-SCE_Ds[[#This Row],[ without Margins ( $)]]</f>
        <v>2.0999999999999991E-2</v>
      </c>
      <c r="G386" s="11" t="str">
        <f>IF(E385&lt;0.5,"Low", "High")</f>
        <v>Low</v>
      </c>
      <c r="H386" s="9">
        <f>SCE_Ds[[#This Row],[Margins ($)]]/SCE_Ds[[#This Row],[With Margins ($)]]</f>
        <v>0.10096153846153848</v>
      </c>
    </row>
    <row r="387" spans="1:8" x14ac:dyDescent="0.3">
      <c r="A387">
        <v>111940</v>
      </c>
      <c r="B387" t="s">
        <v>34</v>
      </c>
      <c r="C387" s="33">
        <v>0.70299999999999996</v>
      </c>
      <c r="D387" s="34">
        <v>3.6999999999999998E-2</v>
      </c>
      <c r="E387" s="33">
        <v>0.74</v>
      </c>
      <c r="F387" s="33">
        <f>SCE_Ds[[#This Row],[With Margins ($)]]-SCE_Ds[[#This Row],[ without Margins ( $)]]</f>
        <v>3.7000000000000033E-2</v>
      </c>
      <c r="G387" s="11" t="str">
        <f>IF(E386&lt;0.5,"Low", "High")</f>
        <v>Low</v>
      </c>
      <c r="H387" s="9">
        <f>SCE_Ds[[#This Row],[Margins ($)]]/SCE_Ds[[#This Row],[With Margins ($)]]</f>
        <v>4.9999999999999996E-2</v>
      </c>
    </row>
    <row r="388" spans="1:8" x14ac:dyDescent="0.3">
      <c r="A388">
        <v>562112</v>
      </c>
      <c r="B388" t="s">
        <v>919</v>
      </c>
      <c r="C388" s="33">
        <v>0.98799999999999999</v>
      </c>
      <c r="D388" s="34">
        <v>0</v>
      </c>
      <c r="E388" s="33">
        <v>0.98799999999999999</v>
      </c>
      <c r="F388" s="33">
        <f>SCE_Ds[[#This Row],[With Margins ($)]]-SCE_Ds[[#This Row],[ without Margins ( $)]]</f>
        <v>0</v>
      </c>
      <c r="G388" s="11" t="str">
        <f>IF(E387&lt;0.5,"Low", "High")</f>
        <v>High</v>
      </c>
      <c r="H388" s="9">
        <f>SCE_Ds[[#This Row],[Margins ($)]]/SCE_Ds[[#This Row],[With Margins ($)]]</f>
        <v>0</v>
      </c>
    </row>
    <row r="389" spans="1:8" x14ac:dyDescent="0.3">
      <c r="A389">
        <v>562211</v>
      </c>
      <c r="B389" t="s">
        <v>921</v>
      </c>
      <c r="C389" s="33">
        <v>0.98799999999999999</v>
      </c>
      <c r="D389" s="34">
        <v>0</v>
      </c>
      <c r="E389" s="33">
        <v>0.98799999999999999</v>
      </c>
      <c r="F389" s="33">
        <f>SCE_Ds[[#This Row],[With Margins ($)]]-SCE_Ds[[#This Row],[ without Margins ( $)]]</f>
        <v>0</v>
      </c>
      <c r="G389" s="11" t="str">
        <f>IF(E388&lt;0.5,"Low", "High")</f>
        <v>High</v>
      </c>
      <c r="H389" s="9">
        <f>SCE_Ds[[#This Row],[Margins ($)]]/SCE_Ds[[#This Row],[With Margins ($)]]</f>
        <v>0</v>
      </c>
    </row>
    <row r="390" spans="1:8" x14ac:dyDescent="0.3">
      <c r="A390">
        <v>525120</v>
      </c>
      <c r="B390" t="s">
        <v>798</v>
      </c>
      <c r="C390" s="33">
        <v>0.218</v>
      </c>
      <c r="D390" s="33">
        <v>0</v>
      </c>
      <c r="E390" s="33">
        <v>0.218</v>
      </c>
      <c r="F390" s="33">
        <f>SCE_Ds[[#This Row],[With Margins ($)]]-SCE_Ds[[#This Row],[ without Margins ( $)]]</f>
        <v>0</v>
      </c>
      <c r="G390" s="11" t="str">
        <f>IF(E389&lt;0.5,"Low", "High")</f>
        <v>High</v>
      </c>
      <c r="H390" s="9">
        <f>SCE_Ds[[#This Row],[Margins ($)]]/SCE_Ds[[#This Row],[With Margins ($)]]</f>
        <v>0</v>
      </c>
    </row>
    <row r="391" spans="1:8" x14ac:dyDescent="0.3">
      <c r="A391">
        <v>333414</v>
      </c>
      <c r="B391" t="s">
        <v>395</v>
      </c>
      <c r="C391" s="33">
        <v>0.13800000000000001</v>
      </c>
      <c r="D391" s="33">
        <v>3.7999999999999999E-2</v>
      </c>
      <c r="E391" s="33">
        <v>0.17599999999999999</v>
      </c>
      <c r="F391" s="33">
        <f>SCE_Ds[[#This Row],[With Margins ($)]]-SCE_Ds[[#This Row],[ without Margins ( $)]]</f>
        <v>3.7999999999999978E-2</v>
      </c>
      <c r="G391" s="11" t="str">
        <f>IF(E390&lt;0.5,"Low", "High")</f>
        <v>Low</v>
      </c>
      <c r="H391" s="9">
        <f>SCE_Ds[[#This Row],[Margins ($)]]/SCE_Ds[[#This Row],[With Margins ($)]]</f>
        <v>0.21590909090909091</v>
      </c>
    </row>
    <row r="392" spans="1:8" x14ac:dyDescent="0.3">
      <c r="A392">
        <v>336120</v>
      </c>
      <c r="B392" t="s">
        <v>469</v>
      </c>
      <c r="C392" s="33">
        <v>0.26200000000000001</v>
      </c>
      <c r="D392" s="33">
        <v>1.0999999999999999E-2</v>
      </c>
      <c r="E392" s="33">
        <v>0.27200000000000002</v>
      </c>
      <c r="F392" s="33">
        <f>SCE_Ds[[#This Row],[With Margins ($)]]-SCE_Ds[[#This Row],[ without Margins ( $)]]</f>
        <v>1.0000000000000009E-2</v>
      </c>
      <c r="G392" s="11" t="str">
        <f>IF(E391&lt;0.5,"Low", "High")</f>
        <v>Low</v>
      </c>
      <c r="H392" s="9">
        <f>SCE_Ds[[#This Row],[Margins ($)]]/SCE_Ds[[#This Row],[With Margins ($)]]</f>
        <v>4.044117647058823E-2</v>
      </c>
    </row>
    <row r="393" spans="1:8" x14ac:dyDescent="0.3">
      <c r="A393">
        <v>237310</v>
      </c>
      <c r="B393" t="s">
        <v>123</v>
      </c>
      <c r="C393" s="33">
        <v>0.255</v>
      </c>
      <c r="D393" s="33">
        <v>0</v>
      </c>
      <c r="E393" s="33">
        <v>0.255</v>
      </c>
      <c r="F393" s="33">
        <f>SCE_Ds[[#This Row],[With Margins ($)]]-SCE_Ds[[#This Row],[ without Margins ( $)]]</f>
        <v>0</v>
      </c>
      <c r="G393" s="11" t="str">
        <f>IF(E392&lt;0.5,"Low", "High")</f>
        <v>Low</v>
      </c>
      <c r="H393" s="9">
        <f>SCE_Ds[[#This Row],[Margins ($)]]/SCE_Ds[[#This Row],[With Margins ($)]]</f>
        <v>0</v>
      </c>
    </row>
    <row r="394" spans="1:8" x14ac:dyDescent="0.3">
      <c r="A394">
        <v>712120</v>
      </c>
      <c r="B394" t="s">
        <v>1003</v>
      </c>
      <c r="C394" s="33">
        <v>0.13600000000000001</v>
      </c>
      <c r="D394" s="33">
        <v>0</v>
      </c>
      <c r="E394" s="33">
        <v>0.13600000000000001</v>
      </c>
      <c r="F394" s="33">
        <f>SCE_Ds[[#This Row],[With Margins ($)]]-SCE_Ds[[#This Row],[ without Margins ( $)]]</f>
        <v>0</v>
      </c>
      <c r="G394" s="11" t="str">
        <f>IF(E393&lt;0.5,"Low", "High")</f>
        <v>Low</v>
      </c>
      <c r="H394" s="9">
        <f>SCE_Ds[[#This Row],[Margins ($)]]/SCE_Ds[[#This Row],[With Margins ($)]]</f>
        <v>0</v>
      </c>
    </row>
    <row r="395" spans="1:8" x14ac:dyDescent="0.3">
      <c r="A395">
        <v>621491</v>
      </c>
      <c r="B395" t="s">
        <v>959</v>
      </c>
      <c r="C395" s="33">
        <v>9.6000000000000002E-2</v>
      </c>
      <c r="D395" s="33">
        <v>0</v>
      </c>
      <c r="E395" s="33">
        <v>9.6000000000000002E-2</v>
      </c>
      <c r="F395" s="33">
        <f>SCE_Ds[[#This Row],[With Margins ($)]]-SCE_Ds[[#This Row],[ without Margins ( $)]]</f>
        <v>0</v>
      </c>
      <c r="G395" s="11" t="str">
        <f>IF(E394&lt;0.5,"Low", "High")</f>
        <v>Low</v>
      </c>
      <c r="H395" s="9">
        <f>SCE_Ds[[#This Row],[Margins ($)]]/SCE_Ds[[#This Row],[With Margins ($)]]</f>
        <v>0</v>
      </c>
    </row>
    <row r="396" spans="1:8" x14ac:dyDescent="0.3">
      <c r="A396">
        <v>451120</v>
      </c>
      <c r="B396" t="s">
        <v>645</v>
      </c>
      <c r="C396" s="33">
        <v>0.111</v>
      </c>
      <c r="D396" s="33">
        <v>0</v>
      </c>
      <c r="E396" s="33">
        <v>0.111</v>
      </c>
      <c r="F396" s="33">
        <f>SCE_Ds[[#This Row],[With Margins ($)]]-SCE_Ds[[#This Row],[ without Margins ( $)]]</f>
        <v>0</v>
      </c>
      <c r="G396" s="11" t="str">
        <f>IF(E395&lt;0.5,"Low", "High")</f>
        <v>Low</v>
      </c>
      <c r="H396" s="9">
        <f>SCE_Ds[[#This Row],[Margins ($)]]/SCE_Ds[[#This Row],[With Margins ($)]]</f>
        <v>0</v>
      </c>
    </row>
    <row r="397" spans="1:8" x14ac:dyDescent="0.3">
      <c r="A397">
        <v>112210</v>
      </c>
      <c r="B397" t="s">
        <v>43</v>
      </c>
      <c r="C397" s="33">
        <v>1.077</v>
      </c>
      <c r="D397" s="34">
        <v>5.0999999999999997E-2</v>
      </c>
      <c r="E397" s="33">
        <v>1.1279999999999999</v>
      </c>
      <c r="F397" s="33">
        <f>SCE_Ds[[#This Row],[With Margins ($)]]-SCE_Ds[[#This Row],[ without Margins ( $)]]</f>
        <v>5.0999999999999934E-2</v>
      </c>
      <c r="G397" s="11" t="str">
        <f>IF(E396&lt;0.5,"Low", "High")</f>
        <v>Low</v>
      </c>
      <c r="H397" s="9">
        <f>SCE_Ds[[#This Row],[Margins ($)]]/SCE_Ds[[#This Row],[With Margins ($)]]</f>
        <v>4.5212765957446811E-2</v>
      </c>
    </row>
    <row r="398" spans="1:8" x14ac:dyDescent="0.3">
      <c r="A398">
        <v>811411</v>
      </c>
      <c r="B398" t="s">
        <v>1046</v>
      </c>
      <c r="C398" s="33">
        <v>0.113</v>
      </c>
      <c r="D398" s="33">
        <v>0</v>
      </c>
      <c r="E398" s="33">
        <v>0.113</v>
      </c>
      <c r="F398" s="33">
        <f>SCE_Ds[[#This Row],[With Margins ($)]]-SCE_Ds[[#This Row],[ without Margins ( $)]]</f>
        <v>0</v>
      </c>
      <c r="G398" s="11" t="str">
        <f>IF(E397&lt;0.5,"Low", "High")</f>
        <v>High</v>
      </c>
      <c r="H398" s="9">
        <f>SCE_Ds[[#This Row],[Margins ($)]]/SCE_Ds[[#This Row],[With Margins ($)]]</f>
        <v>0</v>
      </c>
    </row>
    <row r="399" spans="1:8" x14ac:dyDescent="0.3">
      <c r="A399">
        <v>444110</v>
      </c>
      <c r="B399" t="s">
        <v>613</v>
      </c>
      <c r="C399" s="33">
        <v>8.6999999999999994E-2</v>
      </c>
      <c r="D399" s="33">
        <v>0</v>
      </c>
      <c r="E399" s="33">
        <v>8.6999999999999994E-2</v>
      </c>
      <c r="F399" s="33">
        <f>SCE_Ds[[#This Row],[With Margins ($)]]-SCE_Ds[[#This Row],[ without Margins ( $)]]</f>
        <v>0</v>
      </c>
      <c r="G399" s="11" t="str">
        <f>IF(E398&lt;0.5,"Low", "High")</f>
        <v>Low</v>
      </c>
      <c r="H399" s="9">
        <f>SCE_Ds[[#This Row],[Margins ($)]]/SCE_Ds[[#This Row],[With Margins ($)]]</f>
        <v>0</v>
      </c>
    </row>
    <row r="400" spans="1:8" x14ac:dyDescent="0.3">
      <c r="A400">
        <v>423220</v>
      </c>
      <c r="B400" t="s">
        <v>532</v>
      </c>
      <c r="C400" s="33">
        <v>0.108</v>
      </c>
      <c r="D400" s="33">
        <v>0</v>
      </c>
      <c r="E400" s="33">
        <v>0.108</v>
      </c>
      <c r="F400" s="33">
        <f>SCE_Ds[[#This Row],[With Margins ($)]]-SCE_Ds[[#This Row],[ without Margins ( $)]]</f>
        <v>0</v>
      </c>
      <c r="G400" s="11" t="str">
        <f>IF(E399&lt;0.5,"Low", "High")</f>
        <v>Low</v>
      </c>
      <c r="H400" s="9">
        <f>SCE_Ds[[#This Row],[Margins ($)]]/SCE_Ds[[#This Row],[With Margins ($)]]</f>
        <v>0</v>
      </c>
    </row>
    <row r="401" spans="1:8" x14ac:dyDescent="0.3">
      <c r="A401">
        <v>621610</v>
      </c>
      <c r="B401" t="s">
        <v>965</v>
      </c>
      <c r="C401" s="33">
        <v>0.104</v>
      </c>
      <c r="D401" s="33">
        <v>0</v>
      </c>
      <c r="E401" s="33">
        <v>0.104</v>
      </c>
      <c r="F401" s="33">
        <f>SCE_Ds[[#This Row],[With Margins ($)]]-SCE_Ds[[#This Row],[ without Margins ( $)]]</f>
        <v>0</v>
      </c>
      <c r="G401" s="11" t="str">
        <f>IF(E400&lt;0.5,"Low", "High")</f>
        <v>Low</v>
      </c>
      <c r="H401" s="9">
        <f>SCE_Ds[[#This Row],[Margins ($)]]/SCE_Ds[[#This Row],[With Margins ($)]]</f>
        <v>0</v>
      </c>
    </row>
    <row r="402" spans="1:8" x14ac:dyDescent="0.3">
      <c r="A402">
        <v>532283</v>
      </c>
      <c r="B402" t="s">
        <v>821</v>
      </c>
      <c r="C402" s="33">
        <v>0.10199999999999999</v>
      </c>
      <c r="D402" s="33">
        <v>0</v>
      </c>
      <c r="E402" s="33">
        <v>0.10199999999999999</v>
      </c>
      <c r="F402" s="33">
        <f>SCE_Ds[[#This Row],[With Margins ($)]]-SCE_Ds[[#This Row],[ without Margins ( $)]]</f>
        <v>0</v>
      </c>
      <c r="G402" s="11" t="str">
        <f>IF(E401&lt;0.5,"Low", "High")</f>
        <v>Low</v>
      </c>
      <c r="H402" s="9">
        <f>SCE_Ds[[#This Row],[Margins ($)]]/SCE_Ds[[#This Row],[With Margins ($)]]</f>
        <v>0</v>
      </c>
    </row>
    <row r="403" spans="1:8" x14ac:dyDescent="0.3">
      <c r="A403">
        <v>112920</v>
      </c>
      <c r="B403" t="s">
        <v>56</v>
      </c>
      <c r="C403" s="33">
        <v>1.077</v>
      </c>
      <c r="D403" s="34">
        <v>5.0999999999999997E-2</v>
      </c>
      <c r="E403" s="33">
        <v>1.1279999999999999</v>
      </c>
      <c r="F403" s="33">
        <f>SCE_Ds[[#This Row],[With Margins ($)]]-SCE_Ds[[#This Row],[ without Margins ( $)]]</f>
        <v>5.0999999999999934E-2</v>
      </c>
      <c r="G403" s="11" t="str">
        <f>IF(E402&lt;0.5,"Low", "High")</f>
        <v>Low</v>
      </c>
      <c r="H403" s="9">
        <f>SCE_Ds[[#This Row],[Margins ($)]]/SCE_Ds[[#This Row],[With Margins ($)]]</f>
        <v>4.5212765957446811E-2</v>
      </c>
    </row>
    <row r="404" spans="1:8" x14ac:dyDescent="0.3">
      <c r="A404">
        <v>315110</v>
      </c>
      <c r="B404" t="s">
        <v>212</v>
      </c>
      <c r="C404" s="33">
        <v>0.06</v>
      </c>
      <c r="D404" s="33">
        <v>0.06</v>
      </c>
      <c r="E404" s="33">
        <v>0.12</v>
      </c>
      <c r="F404" s="33">
        <f>SCE_Ds[[#This Row],[With Margins ($)]]-SCE_Ds[[#This Row],[ without Margins ( $)]]</f>
        <v>0.06</v>
      </c>
      <c r="G404" s="11" t="str">
        <f>IF(E403&lt;0.5,"Low", "High")</f>
        <v>High</v>
      </c>
      <c r="H404" s="9">
        <f>SCE_Ds[[#This Row],[Margins ($)]]/SCE_Ds[[#This Row],[With Margins ($)]]</f>
        <v>0.5</v>
      </c>
    </row>
    <row r="405" spans="1:8" x14ac:dyDescent="0.3">
      <c r="A405">
        <v>721110</v>
      </c>
      <c r="B405" t="s">
        <v>1016</v>
      </c>
      <c r="C405" s="33">
        <v>0.14499999999999999</v>
      </c>
      <c r="D405" s="33">
        <v>0</v>
      </c>
      <c r="E405" s="33">
        <v>0.14499999999999999</v>
      </c>
      <c r="F405" s="33">
        <f>SCE_Ds[[#This Row],[With Margins ($)]]-SCE_Ds[[#This Row],[ without Margins ( $)]]</f>
        <v>0</v>
      </c>
      <c r="G405" s="11" t="str">
        <f>IF(E404&lt;0.5,"Low", "High")</f>
        <v>Low</v>
      </c>
      <c r="H405" s="9">
        <f>SCE_Ds[[#This Row],[Margins ($)]]/SCE_Ds[[#This Row],[With Margins ($)]]</f>
        <v>0</v>
      </c>
    </row>
    <row r="406" spans="1:8" x14ac:dyDescent="0.3">
      <c r="A406">
        <v>443141</v>
      </c>
      <c r="B406" t="s">
        <v>611</v>
      </c>
      <c r="C406" s="33">
        <v>0.111</v>
      </c>
      <c r="D406" s="33">
        <v>0</v>
      </c>
      <c r="E406" s="33">
        <v>0.111</v>
      </c>
      <c r="F406" s="33">
        <f>SCE_Ds[[#This Row],[With Margins ($)]]-SCE_Ds[[#This Row],[ without Margins ( $)]]</f>
        <v>0</v>
      </c>
      <c r="G406" s="11" t="str">
        <f>IF(E405&lt;0.5,"Low", "High")</f>
        <v>Low</v>
      </c>
      <c r="H406" s="9">
        <f>SCE_Ds[[#This Row],[Margins ($)]]/SCE_Ds[[#This Row],[With Margins ($)]]</f>
        <v>0</v>
      </c>
    </row>
    <row r="407" spans="1:8" x14ac:dyDescent="0.3">
      <c r="A407">
        <v>423620</v>
      </c>
      <c r="B407" t="s">
        <v>547</v>
      </c>
      <c r="C407" s="33">
        <v>8.3000000000000004E-2</v>
      </c>
      <c r="D407" s="33">
        <v>0</v>
      </c>
      <c r="E407" s="33">
        <v>8.3000000000000004E-2</v>
      </c>
      <c r="F407" s="33">
        <f>SCE_Ds[[#This Row],[With Margins ($)]]-SCE_Ds[[#This Row],[ without Margins ( $)]]</f>
        <v>0</v>
      </c>
      <c r="G407" s="11" t="str">
        <f>IF(E406&lt;0.5,"Low", "High")</f>
        <v>Low</v>
      </c>
      <c r="H407" s="9">
        <f>SCE_Ds[[#This Row],[Margins ($)]]/SCE_Ds[[#This Row],[With Margins ($)]]</f>
        <v>0</v>
      </c>
    </row>
    <row r="408" spans="1:8" x14ac:dyDescent="0.3">
      <c r="A408">
        <v>337125</v>
      </c>
      <c r="B408" t="s">
        <v>501</v>
      </c>
      <c r="C408" s="33">
        <v>0.16800000000000001</v>
      </c>
      <c r="D408" s="33">
        <v>5.8999999999999997E-2</v>
      </c>
      <c r="E408" s="33">
        <v>0.22700000000000001</v>
      </c>
      <c r="F408" s="33">
        <f>SCE_Ds[[#This Row],[With Margins ($)]]-SCE_Ds[[#This Row],[ without Margins ( $)]]</f>
        <v>5.8999999999999997E-2</v>
      </c>
      <c r="G408" s="11" t="str">
        <f>IF(E407&lt;0.5,"Low", "High")</f>
        <v>Low</v>
      </c>
      <c r="H408" s="9">
        <f>SCE_Ds[[#This Row],[Margins ($)]]/SCE_Ds[[#This Row],[With Margins ($)]]</f>
        <v>0.25991189427312772</v>
      </c>
    </row>
    <row r="409" spans="1:8" x14ac:dyDescent="0.3">
      <c r="A409">
        <v>541612</v>
      </c>
      <c r="B409" t="s">
        <v>856</v>
      </c>
      <c r="C409" s="33">
        <v>7.8E-2</v>
      </c>
      <c r="D409" s="33">
        <v>0</v>
      </c>
      <c r="E409" s="33">
        <v>7.8E-2</v>
      </c>
      <c r="F409" s="33">
        <f>SCE_Ds[[#This Row],[With Margins ($)]]-SCE_Ds[[#This Row],[ without Margins ( $)]]</f>
        <v>0</v>
      </c>
      <c r="G409" s="11" t="str">
        <f>IF(E408&lt;0.5,"Low", "High")</f>
        <v>Low</v>
      </c>
      <c r="H409" s="9">
        <f>SCE_Ds[[#This Row],[Margins ($)]]/SCE_Ds[[#This Row],[With Margins ($)]]</f>
        <v>0</v>
      </c>
    </row>
    <row r="410" spans="1:8" x14ac:dyDescent="0.3">
      <c r="A410">
        <v>813311</v>
      </c>
      <c r="B410" t="s">
        <v>1072</v>
      </c>
      <c r="C410" s="33">
        <v>5.8999999999999997E-2</v>
      </c>
      <c r="D410" s="33">
        <v>0</v>
      </c>
      <c r="E410" s="33">
        <v>5.8999999999999997E-2</v>
      </c>
      <c r="F410" s="33">
        <f>SCE_Ds[[#This Row],[With Margins ($)]]-SCE_Ds[[#This Row],[ without Margins ( $)]]</f>
        <v>0</v>
      </c>
      <c r="G410" s="11" t="str">
        <f>IF(E409&lt;0.5,"Low", "High")</f>
        <v>Low</v>
      </c>
      <c r="H410" s="9">
        <f>SCE_Ds[[#This Row],[Margins ($)]]/SCE_Ds[[#This Row],[With Margins ($)]]</f>
        <v>0</v>
      </c>
    </row>
    <row r="411" spans="1:8" x14ac:dyDescent="0.3">
      <c r="A411">
        <v>114210</v>
      </c>
      <c r="B411" t="s">
        <v>65</v>
      </c>
      <c r="C411" s="33">
        <v>0.127</v>
      </c>
      <c r="D411" s="33">
        <v>2.7E-2</v>
      </c>
      <c r="E411" s="33">
        <v>0.154</v>
      </c>
      <c r="F411" s="33">
        <f>SCE_Ds[[#This Row],[With Margins ($)]]-SCE_Ds[[#This Row],[ without Margins ( $)]]</f>
        <v>2.6999999999999996E-2</v>
      </c>
      <c r="G411" s="11" t="str">
        <f>IF(E410&lt;0.5,"Low", "High")</f>
        <v>Low</v>
      </c>
      <c r="H411" s="9">
        <f>SCE_Ds[[#This Row],[Margins ($)]]/SCE_Ds[[#This Row],[With Margins ($)]]</f>
        <v>0.17532467532467533</v>
      </c>
    </row>
    <row r="412" spans="1:8" x14ac:dyDescent="0.3">
      <c r="A412">
        <v>311520</v>
      </c>
      <c r="B412" t="s">
        <v>171</v>
      </c>
      <c r="C412" s="33">
        <v>0.55000000000000004</v>
      </c>
      <c r="D412" s="34">
        <v>0.03</v>
      </c>
      <c r="E412" s="33">
        <v>0.57999999999999996</v>
      </c>
      <c r="F412" s="33">
        <f>SCE_Ds[[#This Row],[With Margins ($)]]-SCE_Ds[[#This Row],[ without Margins ( $)]]</f>
        <v>2.9999999999999916E-2</v>
      </c>
      <c r="G412" s="11" t="str">
        <f>IF(E411&lt;0.5,"Low", "High")</f>
        <v>Low</v>
      </c>
      <c r="H412" s="9">
        <f>SCE_Ds[[#This Row],[Margins ($)]]/SCE_Ds[[#This Row],[With Margins ($)]]</f>
        <v>5.1724137931034482E-2</v>
      </c>
    </row>
    <row r="413" spans="1:8" x14ac:dyDescent="0.3">
      <c r="A413">
        <v>312113</v>
      </c>
      <c r="B413" t="s">
        <v>195</v>
      </c>
      <c r="C413" s="33">
        <v>0.17299999999999999</v>
      </c>
      <c r="D413" s="33">
        <v>4.2000000000000003E-2</v>
      </c>
      <c r="E413" s="33">
        <v>0.214</v>
      </c>
      <c r="F413" s="33">
        <f>SCE_Ds[[#This Row],[With Margins ($)]]-SCE_Ds[[#This Row],[ without Margins ( $)]]</f>
        <v>4.1000000000000009E-2</v>
      </c>
      <c r="G413" s="11" t="str">
        <f>IF(E412&lt;0.5,"Low", "High")</f>
        <v>High</v>
      </c>
      <c r="H413" s="9">
        <f>SCE_Ds[[#This Row],[Margins ($)]]/SCE_Ds[[#This Row],[With Margins ($)]]</f>
        <v>0.19626168224299068</v>
      </c>
    </row>
    <row r="414" spans="1:8" x14ac:dyDescent="0.3">
      <c r="A414">
        <v>711510</v>
      </c>
      <c r="B414" t="s">
        <v>1001</v>
      </c>
      <c r="C414" s="33">
        <v>3.3000000000000002E-2</v>
      </c>
      <c r="D414" s="33">
        <v>0</v>
      </c>
      <c r="E414" s="33">
        <v>3.3000000000000002E-2</v>
      </c>
      <c r="F414" s="33">
        <f>SCE_Ds[[#This Row],[With Margins ($)]]-SCE_Ds[[#This Row],[ without Margins ( $)]]</f>
        <v>0</v>
      </c>
      <c r="G414" s="11" t="str">
        <f>IF(E413&lt;0.5,"Low", "High")</f>
        <v>Low</v>
      </c>
      <c r="H414" s="9">
        <f>SCE_Ds[[#This Row],[Margins ($)]]/SCE_Ds[[#This Row],[With Margins ($)]]</f>
        <v>0</v>
      </c>
    </row>
    <row r="415" spans="1:8" x14ac:dyDescent="0.3">
      <c r="A415">
        <v>333413</v>
      </c>
      <c r="B415" t="s">
        <v>394</v>
      </c>
      <c r="C415" s="33">
        <v>0.184</v>
      </c>
      <c r="D415" s="33">
        <v>2.5000000000000001E-2</v>
      </c>
      <c r="E415" s="33">
        <v>0.21</v>
      </c>
      <c r="F415" s="33">
        <f>SCE_Ds[[#This Row],[With Margins ($)]]-SCE_Ds[[#This Row],[ without Margins ( $)]]</f>
        <v>2.5999999999999995E-2</v>
      </c>
      <c r="G415" s="11" t="str">
        <f>IF(E414&lt;0.5,"Low", "High")</f>
        <v>Low</v>
      </c>
      <c r="H415" s="9">
        <f>SCE_Ds[[#This Row],[Margins ($)]]/SCE_Ds[[#This Row],[With Margins ($)]]</f>
        <v>0.11904761904761905</v>
      </c>
    </row>
    <row r="416" spans="1:8" x14ac:dyDescent="0.3">
      <c r="A416">
        <v>424130</v>
      </c>
      <c r="B416" t="s">
        <v>567</v>
      </c>
      <c r="C416" s="33">
        <v>0.14399999999999999</v>
      </c>
      <c r="D416" s="33">
        <v>0</v>
      </c>
      <c r="E416" s="33">
        <v>0.14399999999999999</v>
      </c>
      <c r="F416" s="33">
        <f>SCE_Ds[[#This Row],[With Margins ($)]]-SCE_Ds[[#This Row],[ without Margins ( $)]]</f>
        <v>0</v>
      </c>
      <c r="G416" s="11" t="str">
        <f>IF(E415&lt;0.5,"Low", "High")</f>
        <v>Low</v>
      </c>
      <c r="H416" s="9">
        <f>SCE_Ds[[#This Row],[Margins ($)]]/SCE_Ds[[#This Row],[With Margins ($)]]</f>
        <v>0</v>
      </c>
    </row>
    <row r="417" spans="1:8" x14ac:dyDescent="0.3">
      <c r="A417">
        <v>236210</v>
      </c>
      <c r="B417" t="s">
        <v>114</v>
      </c>
      <c r="C417" s="33">
        <v>0.23899999999999999</v>
      </c>
      <c r="D417" s="33">
        <v>0</v>
      </c>
      <c r="E417" s="33">
        <v>0.23899999999999999</v>
      </c>
      <c r="F417" s="33">
        <f>SCE_Ds[[#This Row],[With Margins ($)]]-SCE_Ds[[#This Row],[ without Margins ( $)]]</f>
        <v>0</v>
      </c>
      <c r="G417" s="11" t="str">
        <f>IF(E416&lt;0.5,"Low", "High")</f>
        <v>Low</v>
      </c>
      <c r="H417" s="9">
        <f>SCE_Ds[[#This Row],[Margins ($)]]/SCE_Ds[[#This Row],[With Margins ($)]]</f>
        <v>0</v>
      </c>
    </row>
    <row r="418" spans="1:8" x14ac:dyDescent="0.3">
      <c r="A418">
        <v>541420</v>
      </c>
      <c r="B418" t="s">
        <v>847</v>
      </c>
      <c r="C418" s="33">
        <v>9.4E-2</v>
      </c>
      <c r="D418" s="33">
        <v>0</v>
      </c>
      <c r="E418" s="33">
        <v>9.4E-2</v>
      </c>
      <c r="F418" s="33">
        <f>SCE_Ds[[#This Row],[With Margins ($)]]-SCE_Ds[[#This Row],[ without Margins ( $)]]</f>
        <v>0</v>
      </c>
      <c r="G418" s="11" t="str">
        <f>IF(E417&lt;0.5,"Low", "High")</f>
        <v>Low</v>
      </c>
      <c r="H418" s="9">
        <f>SCE_Ds[[#This Row],[Margins ($)]]/SCE_Ds[[#This Row],[With Margins ($)]]</f>
        <v>0</v>
      </c>
    </row>
    <row r="419" spans="1:8" x14ac:dyDescent="0.3">
      <c r="A419">
        <v>325120</v>
      </c>
      <c r="B419" t="s">
        <v>259</v>
      </c>
      <c r="C419" s="33">
        <v>1.163</v>
      </c>
      <c r="D419" s="34">
        <v>4.8000000000000001E-2</v>
      </c>
      <c r="E419" s="33">
        <v>1.2110000000000001</v>
      </c>
      <c r="F419" s="33">
        <f>SCE_Ds[[#This Row],[With Margins ($)]]-SCE_Ds[[#This Row],[ without Margins ( $)]]</f>
        <v>4.8000000000000043E-2</v>
      </c>
      <c r="G419" s="11" t="str">
        <f>IF(E418&lt;0.5,"Low", "High")</f>
        <v>Low</v>
      </c>
      <c r="H419" s="9">
        <f>SCE_Ds[[#This Row],[Margins ($)]]/SCE_Ds[[#This Row],[With Margins ($)]]</f>
        <v>3.963666391412056E-2</v>
      </c>
    </row>
    <row r="420" spans="1:8" x14ac:dyDescent="0.3">
      <c r="A420">
        <v>812332</v>
      </c>
      <c r="B420" t="s">
        <v>1061</v>
      </c>
      <c r="C420" s="33">
        <v>0.158</v>
      </c>
      <c r="D420" s="33">
        <v>0</v>
      </c>
      <c r="E420" s="33">
        <v>0.158</v>
      </c>
      <c r="F420" s="33">
        <f>SCE_Ds[[#This Row],[With Margins ($)]]-SCE_Ds[[#This Row],[ without Margins ( $)]]</f>
        <v>0</v>
      </c>
      <c r="G420" s="11" t="str">
        <f>IF(E419&lt;0.5,"Low", "High")</f>
        <v>High</v>
      </c>
      <c r="H420" s="9">
        <f>SCE_Ds[[#This Row],[Margins ($)]]/SCE_Ds[[#This Row],[With Margins ($)]]</f>
        <v>0</v>
      </c>
    </row>
    <row r="421" spans="1:8" x14ac:dyDescent="0.3">
      <c r="A421">
        <v>423830</v>
      </c>
      <c r="B421" t="s">
        <v>555</v>
      </c>
      <c r="C421" s="33">
        <v>0.115</v>
      </c>
      <c r="D421" s="33">
        <v>0</v>
      </c>
      <c r="E421" s="33">
        <v>0.115</v>
      </c>
      <c r="F421" s="33">
        <f>SCE_Ds[[#This Row],[With Margins ($)]]-SCE_Ds[[#This Row],[ without Margins ( $)]]</f>
        <v>0</v>
      </c>
      <c r="G421" s="11" t="str">
        <f>IF(E420&lt;0.5,"Low", "High")</f>
        <v>Low</v>
      </c>
      <c r="H421" s="9">
        <f>SCE_Ds[[#This Row],[Margins ($)]]/SCE_Ds[[#This Row],[With Margins ($)]]</f>
        <v>0</v>
      </c>
    </row>
    <row r="422" spans="1:8" x14ac:dyDescent="0.3">
      <c r="A422">
        <v>333511</v>
      </c>
      <c r="B422" t="s">
        <v>397</v>
      </c>
      <c r="C422" s="33">
        <v>0.23599999999999999</v>
      </c>
      <c r="D422" s="33">
        <v>2.5000000000000001E-2</v>
      </c>
      <c r="E422" s="33">
        <v>0.26200000000000001</v>
      </c>
      <c r="F422" s="33">
        <f>SCE_Ds[[#This Row],[With Margins ($)]]-SCE_Ds[[#This Row],[ without Margins ( $)]]</f>
        <v>2.6000000000000023E-2</v>
      </c>
      <c r="G422" s="11" t="str">
        <f>IF(E421&lt;0.5,"Low", "High")</f>
        <v>Low</v>
      </c>
      <c r="H422" s="9">
        <f>SCE_Ds[[#This Row],[Margins ($)]]/SCE_Ds[[#This Row],[With Margins ($)]]</f>
        <v>9.5419847328244281E-2</v>
      </c>
    </row>
    <row r="423" spans="1:8" x14ac:dyDescent="0.3">
      <c r="A423">
        <v>333994</v>
      </c>
      <c r="B423" t="s">
        <v>417</v>
      </c>
      <c r="C423" s="33">
        <v>0.16800000000000001</v>
      </c>
      <c r="D423" s="33">
        <v>2.1999999999999999E-2</v>
      </c>
      <c r="E423" s="33">
        <v>0.19</v>
      </c>
      <c r="F423" s="33">
        <f>SCE_Ds[[#This Row],[With Margins ($)]]-SCE_Ds[[#This Row],[ without Margins ( $)]]</f>
        <v>2.1999999999999992E-2</v>
      </c>
      <c r="G423" s="11" t="str">
        <f>IF(E422&lt;0.5,"Low", "High")</f>
        <v>Low</v>
      </c>
      <c r="H423" s="9">
        <f>SCE_Ds[[#This Row],[Margins ($)]]/SCE_Ds[[#This Row],[With Margins ($)]]</f>
        <v>0.11578947368421051</v>
      </c>
    </row>
    <row r="424" spans="1:8" x14ac:dyDescent="0.3">
      <c r="A424">
        <v>212322</v>
      </c>
      <c r="B424" t="s">
        <v>92</v>
      </c>
      <c r="C424" s="33">
        <v>0.184</v>
      </c>
      <c r="D424" s="33">
        <v>0.125</v>
      </c>
      <c r="E424" s="33">
        <v>0.309</v>
      </c>
      <c r="F424" s="33">
        <f>SCE_Ds[[#This Row],[With Margins ($)]]-SCE_Ds[[#This Row],[ without Margins ( $)]]</f>
        <v>0.125</v>
      </c>
      <c r="G424" s="11" t="str">
        <f>IF(E423&lt;0.5,"Low", "High")</f>
        <v>Low</v>
      </c>
      <c r="H424" s="9">
        <f>SCE_Ds[[#This Row],[Margins ($)]]/SCE_Ds[[#This Row],[With Margins ($)]]</f>
        <v>0.4045307443365696</v>
      </c>
    </row>
    <row r="425" spans="1:8" x14ac:dyDescent="0.3">
      <c r="A425">
        <v>423840</v>
      </c>
      <c r="B425" t="s">
        <v>556</v>
      </c>
      <c r="C425" s="33">
        <v>0.115</v>
      </c>
      <c r="D425" s="33">
        <v>0</v>
      </c>
      <c r="E425" s="33">
        <v>0.115</v>
      </c>
      <c r="F425" s="33">
        <f>SCE_Ds[[#This Row],[With Margins ($)]]-SCE_Ds[[#This Row],[ without Margins ( $)]]</f>
        <v>0</v>
      </c>
      <c r="G425" s="11" t="str">
        <f>IF(E424&lt;0.5,"Low", "High")</f>
        <v>Low</v>
      </c>
      <c r="H425" s="9">
        <f>SCE_Ds[[#This Row],[Margins ($)]]/SCE_Ds[[#This Row],[With Margins ($)]]</f>
        <v>0</v>
      </c>
    </row>
    <row r="426" spans="1:8" x14ac:dyDescent="0.3">
      <c r="A426">
        <v>333924</v>
      </c>
      <c r="B426" t="s">
        <v>412</v>
      </c>
      <c r="C426" s="33">
        <v>0.23400000000000001</v>
      </c>
      <c r="D426" s="33">
        <v>2.1999999999999999E-2</v>
      </c>
      <c r="E426" s="33">
        <v>0.25600000000000001</v>
      </c>
      <c r="F426" s="33">
        <f>SCE_Ds[[#This Row],[With Margins ($)]]-SCE_Ds[[#This Row],[ without Margins ( $)]]</f>
        <v>2.1999999999999992E-2</v>
      </c>
      <c r="G426" s="11" t="str">
        <f>IF(E425&lt;0.5,"Low", "High")</f>
        <v>Low</v>
      </c>
      <c r="H426" s="9">
        <f>SCE_Ds[[#This Row],[Margins ($)]]/SCE_Ds[[#This Row],[With Margins ($)]]</f>
        <v>8.59375E-2</v>
      </c>
    </row>
    <row r="427" spans="1:8" x14ac:dyDescent="0.3">
      <c r="A427">
        <v>332911</v>
      </c>
      <c r="B427" t="s">
        <v>368</v>
      </c>
      <c r="C427" s="33">
        <v>0.14599999999999999</v>
      </c>
      <c r="D427" s="33">
        <v>2.7E-2</v>
      </c>
      <c r="E427" s="33">
        <v>0.17299999999999999</v>
      </c>
      <c r="F427" s="33">
        <f>SCE_Ds[[#This Row],[With Margins ($)]]-SCE_Ds[[#This Row],[ without Margins ( $)]]</f>
        <v>2.6999999999999996E-2</v>
      </c>
      <c r="G427" s="11" t="str">
        <f>IF(E426&lt;0.5,"Low", "High")</f>
        <v>Low</v>
      </c>
      <c r="H427" s="9">
        <f>SCE_Ds[[#This Row],[Margins ($)]]/SCE_Ds[[#This Row],[With Margins ($)]]</f>
        <v>0.15606936416184972</v>
      </c>
    </row>
    <row r="428" spans="1:8" x14ac:dyDescent="0.3">
      <c r="A428">
        <v>483211</v>
      </c>
      <c r="B428" t="s">
        <v>677</v>
      </c>
      <c r="C428" s="33">
        <v>0.81599999999999995</v>
      </c>
      <c r="D428" s="34">
        <v>0</v>
      </c>
      <c r="E428" s="33">
        <v>0.81599999999999995</v>
      </c>
      <c r="F428" s="33">
        <f>SCE_Ds[[#This Row],[With Margins ($)]]-SCE_Ds[[#This Row],[ without Margins ( $)]]</f>
        <v>0</v>
      </c>
      <c r="G428" s="11" t="str">
        <f>IF(E427&lt;0.5,"Low", "High")</f>
        <v>Low</v>
      </c>
      <c r="H428" s="9">
        <f>SCE_Ds[[#This Row],[Margins ($)]]/SCE_Ds[[#This Row],[With Margins ($)]]</f>
        <v>0</v>
      </c>
    </row>
    <row r="429" spans="1:8" x14ac:dyDescent="0.3">
      <c r="A429">
        <v>483212</v>
      </c>
      <c r="B429" t="s">
        <v>678</v>
      </c>
      <c r="C429" s="33">
        <v>0.81599999999999995</v>
      </c>
      <c r="D429" s="34">
        <v>0</v>
      </c>
      <c r="E429" s="33">
        <v>0.81599999999999995</v>
      </c>
      <c r="F429" s="33">
        <f>SCE_Ds[[#This Row],[With Margins ($)]]-SCE_Ds[[#This Row],[ without Margins ( $)]]</f>
        <v>0</v>
      </c>
      <c r="G429" s="11" t="str">
        <f>IF(E428&lt;0.5,"Low", "High")</f>
        <v>High</v>
      </c>
      <c r="H429" s="9">
        <f>SCE_Ds[[#This Row],[Margins ($)]]/SCE_Ds[[#This Row],[With Margins ($)]]</f>
        <v>0</v>
      </c>
    </row>
    <row r="430" spans="1:8" x14ac:dyDescent="0.3">
      <c r="A430">
        <v>337127</v>
      </c>
      <c r="B430" t="s">
        <v>502</v>
      </c>
      <c r="C430" s="33">
        <v>0.20799999999999999</v>
      </c>
      <c r="D430" s="33">
        <v>3.7999999999999999E-2</v>
      </c>
      <c r="E430" s="33">
        <v>0.246</v>
      </c>
      <c r="F430" s="33">
        <f>SCE_Ds[[#This Row],[With Margins ($)]]-SCE_Ds[[#This Row],[ without Margins ( $)]]</f>
        <v>3.8000000000000006E-2</v>
      </c>
      <c r="G430" s="11" t="str">
        <f>IF(E429&lt;0.5,"Low", "High")</f>
        <v>High</v>
      </c>
      <c r="H430" s="9">
        <f>SCE_Ds[[#This Row],[Margins ($)]]/SCE_Ds[[#This Row],[With Margins ($)]]</f>
        <v>0.15447154471544716</v>
      </c>
    </row>
    <row r="431" spans="1:8" x14ac:dyDescent="0.3">
      <c r="A431">
        <v>334515</v>
      </c>
      <c r="B431" t="s">
        <v>442</v>
      </c>
      <c r="C431" s="33">
        <v>5.5E-2</v>
      </c>
      <c r="D431" s="33">
        <v>2.4E-2</v>
      </c>
      <c r="E431" s="33">
        <v>7.9000000000000001E-2</v>
      </c>
      <c r="F431" s="33">
        <f>SCE_Ds[[#This Row],[With Margins ($)]]-SCE_Ds[[#This Row],[ without Margins ( $)]]</f>
        <v>2.4E-2</v>
      </c>
      <c r="G431" s="11" t="str">
        <f>IF(E430&lt;0.5,"Low", "High")</f>
        <v>Low</v>
      </c>
      <c r="H431" s="9">
        <f>SCE_Ds[[#This Row],[Margins ($)]]/SCE_Ds[[#This Row],[With Margins ($)]]</f>
        <v>0.30379746835443039</v>
      </c>
    </row>
    <row r="432" spans="1:8" x14ac:dyDescent="0.3">
      <c r="A432">
        <v>334513</v>
      </c>
      <c r="B432" t="s">
        <v>440</v>
      </c>
      <c r="C432" s="33">
        <v>4.8000000000000001E-2</v>
      </c>
      <c r="D432" s="33">
        <v>1.4999999999999999E-2</v>
      </c>
      <c r="E432" s="33">
        <v>6.3E-2</v>
      </c>
      <c r="F432" s="33">
        <f>SCE_Ds[[#This Row],[With Margins ($)]]-SCE_Ds[[#This Row],[ without Margins ( $)]]</f>
        <v>1.4999999999999999E-2</v>
      </c>
      <c r="G432" s="11" t="str">
        <f>IF(E431&lt;0.5,"Low", "High")</f>
        <v>Low</v>
      </c>
      <c r="H432" s="9">
        <f>SCE_Ds[[#This Row],[Margins ($)]]/SCE_Ds[[#This Row],[With Margins ($)]]</f>
        <v>0.23809523809523808</v>
      </c>
    </row>
    <row r="433" spans="1:8" x14ac:dyDescent="0.3">
      <c r="A433">
        <v>524210</v>
      </c>
      <c r="B433" t="s">
        <v>793</v>
      </c>
      <c r="C433" s="33">
        <v>2.9000000000000001E-2</v>
      </c>
      <c r="D433" s="33">
        <v>0</v>
      </c>
      <c r="E433" s="33">
        <v>2.9000000000000001E-2</v>
      </c>
      <c r="F433" s="33">
        <f>SCE_Ds[[#This Row],[With Margins ($)]]-SCE_Ds[[#This Row],[ without Margins ( $)]]</f>
        <v>0</v>
      </c>
      <c r="G433" s="11" t="str">
        <f>IF(E432&lt;0.5,"Low", "High")</f>
        <v>Low</v>
      </c>
      <c r="H433" s="9">
        <f>SCE_Ds[[#This Row],[Margins ($)]]/SCE_Ds[[#This Row],[With Margins ($)]]</f>
        <v>0</v>
      </c>
    </row>
    <row r="434" spans="1:8" x14ac:dyDescent="0.3">
      <c r="A434">
        <v>541410</v>
      </c>
      <c r="B434" t="s">
        <v>846</v>
      </c>
      <c r="C434" s="33">
        <v>9.4E-2</v>
      </c>
      <c r="D434" s="33">
        <v>0</v>
      </c>
      <c r="E434" s="33">
        <v>9.4E-2</v>
      </c>
      <c r="F434" s="33">
        <f>SCE_Ds[[#This Row],[With Margins ($)]]-SCE_Ds[[#This Row],[ without Margins ( $)]]</f>
        <v>0</v>
      </c>
      <c r="G434" s="11" t="str">
        <f>IF(E433&lt;0.5,"Low", "High")</f>
        <v>Low</v>
      </c>
      <c r="H434" s="9">
        <f>SCE_Ds[[#This Row],[Margins ($)]]/SCE_Ds[[#This Row],[With Margins ($)]]</f>
        <v>0</v>
      </c>
    </row>
    <row r="435" spans="1:8" x14ac:dyDescent="0.3">
      <c r="A435">
        <v>522293</v>
      </c>
      <c r="B435" t="s">
        <v>769</v>
      </c>
      <c r="C435" s="33">
        <v>7.1999999999999995E-2</v>
      </c>
      <c r="D435" s="33">
        <v>0</v>
      </c>
      <c r="E435" s="33">
        <v>7.1999999999999995E-2</v>
      </c>
      <c r="F435" s="33">
        <f>SCE_Ds[[#This Row],[With Margins ($)]]-SCE_Ds[[#This Row],[ without Margins ( $)]]</f>
        <v>0</v>
      </c>
      <c r="G435" s="11" t="str">
        <f>IF(E434&lt;0.5,"Low", "High")</f>
        <v>Low</v>
      </c>
      <c r="H435" s="9">
        <f>SCE_Ds[[#This Row],[Margins ($)]]/SCE_Ds[[#This Row],[With Margins ($)]]</f>
        <v>0</v>
      </c>
    </row>
    <row r="436" spans="1:8" x14ac:dyDescent="0.3">
      <c r="A436">
        <v>519130</v>
      </c>
      <c r="B436" t="s">
        <v>756</v>
      </c>
      <c r="C436" s="33">
        <v>6.7000000000000004E-2</v>
      </c>
      <c r="D436" s="33">
        <v>0</v>
      </c>
      <c r="E436" s="33">
        <v>6.7000000000000004E-2</v>
      </c>
      <c r="F436" s="33">
        <f>SCE_Ds[[#This Row],[With Margins ($)]]-SCE_Ds[[#This Row],[ without Margins ( $)]]</f>
        <v>0</v>
      </c>
      <c r="G436" s="11" t="str">
        <f>IF(E435&lt;0.5,"Low", "High")</f>
        <v>Low</v>
      </c>
      <c r="H436" s="9">
        <f>SCE_Ds[[#This Row],[Margins ($)]]/SCE_Ds[[#This Row],[With Margins ($)]]</f>
        <v>0</v>
      </c>
    </row>
    <row r="437" spans="1:8" x14ac:dyDescent="0.3">
      <c r="A437">
        <v>485210</v>
      </c>
      <c r="B437" t="s">
        <v>689</v>
      </c>
      <c r="C437" s="33">
        <v>0.56599999999999995</v>
      </c>
      <c r="D437" s="34">
        <v>0</v>
      </c>
      <c r="E437" s="33">
        <v>0.56599999999999995</v>
      </c>
      <c r="F437" s="33">
        <f>SCE_Ds[[#This Row],[With Margins ($)]]-SCE_Ds[[#This Row],[ without Margins ( $)]]</f>
        <v>0</v>
      </c>
      <c r="G437" s="11" t="str">
        <f>IF(E436&lt;0.5,"Low", "High")</f>
        <v>Low</v>
      </c>
      <c r="H437" s="9">
        <f>SCE_Ds[[#This Row],[Margins ($)]]/SCE_Ds[[#This Row],[With Margins ($)]]</f>
        <v>0</v>
      </c>
    </row>
    <row r="438" spans="1:8" x14ac:dyDescent="0.3">
      <c r="A438">
        <v>561611</v>
      </c>
      <c r="B438" t="s">
        <v>905</v>
      </c>
      <c r="C438" s="33">
        <v>7.3999999999999996E-2</v>
      </c>
      <c r="D438" s="33">
        <v>0</v>
      </c>
      <c r="E438" s="33">
        <v>7.3999999999999996E-2</v>
      </c>
      <c r="F438" s="33">
        <f>SCE_Ds[[#This Row],[With Margins ($)]]-SCE_Ds[[#This Row],[ without Margins ( $)]]</f>
        <v>0</v>
      </c>
      <c r="G438" s="11" t="str">
        <f>IF(E437&lt;0.5,"Low", "High")</f>
        <v>High</v>
      </c>
      <c r="H438" s="9">
        <f>SCE_Ds[[#This Row],[Margins ($)]]/SCE_Ds[[#This Row],[With Margins ($)]]</f>
        <v>0</v>
      </c>
    </row>
    <row r="439" spans="1:8" x14ac:dyDescent="0.3">
      <c r="A439">
        <v>523930</v>
      </c>
      <c r="B439" t="s">
        <v>783</v>
      </c>
      <c r="C439" s="33">
        <v>6.6000000000000003E-2</v>
      </c>
      <c r="D439" s="33">
        <v>0</v>
      </c>
      <c r="E439" s="33">
        <v>6.6000000000000003E-2</v>
      </c>
      <c r="F439" s="33">
        <f>SCE_Ds[[#This Row],[With Margins ($)]]-SCE_Ds[[#This Row],[ without Margins ( $)]]</f>
        <v>0</v>
      </c>
      <c r="G439" s="11" t="str">
        <f>IF(E438&lt;0.5,"Low", "High")</f>
        <v>Low</v>
      </c>
      <c r="H439" s="9">
        <f>SCE_Ds[[#This Row],[Margins ($)]]/SCE_Ds[[#This Row],[With Margins ($)]]</f>
        <v>0</v>
      </c>
    </row>
    <row r="440" spans="1:8" x14ac:dyDescent="0.3">
      <c r="A440">
        <v>523110</v>
      </c>
      <c r="B440" t="s">
        <v>775</v>
      </c>
      <c r="C440" s="33">
        <v>4.2999999999999997E-2</v>
      </c>
      <c r="D440" s="33">
        <v>0</v>
      </c>
      <c r="E440" s="33">
        <v>4.2999999999999997E-2</v>
      </c>
      <c r="F440" s="33">
        <f>SCE_Ds[[#This Row],[With Margins ($)]]-SCE_Ds[[#This Row],[ without Margins ( $)]]</f>
        <v>0</v>
      </c>
      <c r="G440" s="11" t="str">
        <f>IF(E439&lt;0.5,"Low", "High")</f>
        <v>Low</v>
      </c>
      <c r="H440" s="9">
        <f>SCE_Ds[[#This Row],[Margins ($)]]/SCE_Ds[[#This Row],[With Margins ($)]]</f>
        <v>0</v>
      </c>
    </row>
    <row r="441" spans="1:8" x14ac:dyDescent="0.3">
      <c r="A441">
        <v>325413</v>
      </c>
      <c r="B441" t="s">
        <v>275</v>
      </c>
      <c r="C441" s="33">
        <v>0.161</v>
      </c>
      <c r="D441" s="33">
        <v>2.1999999999999999E-2</v>
      </c>
      <c r="E441" s="33">
        <v>0.183</v>
      </c>
      <c r="F441" s="33">
        <f>SCE_Ds[[#This Row],[With Margins ($)]]-SCE_Ds[[#This Row],[ without Margins ( $)]]</f>
        <v>2.1999999999999992E-2</v>
      </c>
      <c r="G441" s="11" t="str">
        <f>IF(E440&lt;0.5,"Low", "High")</f>
        <v>Low</v>
      </c>
      <c r="H441" s="9">
        <f>SCE_Ds[[#This Row],[Margins ($)]]/SCE_Ds[[#This Row],[With Margins ($)]]</f>
        <v>0.12021857923497267</v>
      </c>
    </row>
    <row r="442" spans="1:8" x14ac:dyDescent="0.3">
      <c r="A442">
        <v>332111</v>
      </c>
      <c r="B442" t="s">
        <v>341</v>
      </c>
      <c r="C442" s="33">
        <v>0.47</v>
      </c>
      <c r="D442" s="33">
        <v>2.3E-2</v>
      </c>
      <c r="E442" s="33">
        <v>0.49299999999999999</v>
      </c>
      <c r="F442" s="33">
        <f>SCE_Ds[[#This Row],[With Margins ($)]]-SCE_Ds[[#This Row],[ without Margins ( $)]]</f>
        <v>2.300000000000002E-2</v>
      </c>
      <c r="G442" s="11" t="str">
        <f>IF(E441&lt;0.5,"Low", "High")</f>
        <v>Low</v>
      </c>
      <c r="H442" s="9">
        <f>SCE_Ds[[#This Row],[Margins ($)]]/SCE_Ds[[#This Row],[With Margins ($)]]</f>
        <v>4.665314401622718E-2</v>
      </c>
    </row>
    <row r="443" spans="1:8" x14ac:dyDescent="0.3">
      <c r="A443">
        <v>331110</v>
      </c>
      <c r="B443" t="s">
        <v>323</v>
      </c>
      <c r="C443" s="33">
        <v>0.76900000000000002</v>
      </c>
      <c r="D443" s="34">
        <v>1.7999999999999999E-2</v>
      </c>
      <c r="E443" s="33">
        <v>0.78700000000000003</v>
      </c>
      <c r="F443" s="33">
        <f>SCE_Ds[[#This Row],[With Margins ($)]]-SCE_Ds[[#This Row],[ without Margins ( $)]]</f>
        <v>1.8000000000000016E-2</v>
      </c>
      <c r="G443" s="11" t="str">
        <f>IF(E442&lt;0.5,"Low", "High")</f>
        <v>Low</v>
      </c>
      <c r="H443" s="9">
        <f>SCE_Ds[[#This Row],[Margins ($)]]/SCE_Ds[[#This Row],[With Margins ($)]]</f>
        <v>2.2871664548919948E-2</v>
      </c>
    </row>
    <row r="444" spans="1:8" x14ac:dyDescent="0.3">
      <c r="A444">
        <v>331210</v>
      </c>
      <c r="B444" t="s">
        <v>324</v>
      </c>
      <c r="C444" s="33">
        <v>0.34300000000000003</v>
      </c>
      <c r="D444" s="34">
        <v>1.7000000000000001E-2</v>
      </c>
      <c r="E444" s="33">
        <v>0.36</v>
      </c>
      <c r="F444" s="33">
        <f>SCE_Ds[[#This Row],[With Margins ($)]]-SCE_Ds[[#This Row],[ without Margins ( $)]]</f>
        <v>1.699999999999996E-2</v>
      </c>
      <c r="G444" s="11" t="str">
        <f>IF(E443&lt;0.5,"Low", "High")</f>
        <v>High</v>
      </c>
      <c r="H444" s="9">
        <f>SCE_Ds[[#This Row],[Margins ($)]]/SCE_Ds[[#This Row],[With Margins ($)]]</f>
        <v>4.7222222222222228E-2</v>
      </c>
    </row>
    <row r="445" spans="1:8" x14ac:dyDescent="0.3">
      <c r="A445">
        <v>331511</v>
      </c>
      <c r="B445" t="s">
        <v>335</v>
      </c>
      <c r="C445" s="33">
        <v>0.34899999999999998</v>
      </c>
      <c r="D445" s="33">
        <v>2.1000000000000001E-2</v>
      </c>
      <c r="E445" s="33">
        <v>0.36899999999999999</v>
      </c>
      <c r="F445" s="33">
        <f>SCE_Ds[[#This Row],[With Margins ($)]]-SCE_Ds[[#This Row],[ without Margins ( $)]]</f>
        <v>2.0000000000000018E-2</v>
      </c>
      <c r="G445" s="11" t="str">
        <f>IF(E444&lt;0.5,"Low", "High")</f>
        <v>Low</v>
      </c>
      <c r="H445" s="9">
        <f>SCE_Ds[[#This Row],[Margins ($)]]/SCE_Ds[[#This Row],[With Margins ($)]]</f>
        <v>5.6910569105691061E-2</v>
      </c>
    </row>
    <row r="446" spans="1:8" x14ac:dyDescent="0.3">
      <c r="A446">
        <v>212210</v>
      </c>
      <c r="B446" t="s">
        <v>79</v>
      </c>
      <c r="C446" s="33">
        <v>0.54</v>
      </c>
      <c r="D446" s="34">
        <v>5.3999999999999999E-2</v>
      </c>
      <c r="E446" s="33">
        <v>0.59299999999999997</v>
      </c>
      <c r="F446" s="33">
        <f>SCE_Ds[[#This Row],[With Margins ($)]]-SCE_Ds[[#This Row],[ without Margins ( $)]]</f>
        <v>5.2999999999999936E-2</v>
      </c>
      <c r="G446" s="11" t="str">
        <f>IF(E445&lt;0.5,"Low", "High")</f>
        <v>Low</v>
      </c>
      <c r="H446" s="9">
        <f>SCE_Ds[[#This Row],[Margins ($)]]/SCE_Ds[[#This Row],[With Margins ($)]]</f>
        <v>9.1062394603709948E-2</v>
      </c>
    </row>
    <row r="447" spans="1:8" x14ac:dyDescent="0.3">
      <c r="A447">
        <v>334517</v>
      </c>
      <c r="B447" t="s">
        <v>444</v>
      </c>
      <c r="C447" s="33">
        <v>9.7000000000000003E-2</v>
      </c>
      <c r="D447" s="33">
        <v>3.7999999999999999E-2</v>
      </c>
      <c r="E447" s="33">
        <v>0.13500000000000001</v>
      </c>
      <c r="F447" s="33">
        <f>SCE_Ds[[#This Row],[With Margins ($)]]-SCE_Ds[[#This Row],[ without Margins ( $)]]</f>
        <v>3.8000000000000006E-2</v>
      </c>
      <c r="G447" s="11" t="str">
        <f>IF(E446&lt;0.5,"Low", "High")</f>
        <v>High</v>
      </c>
      <c r="H447" s="9">
        <f>SCE_Ds[[#This Row],[Margins ($)]]/SCE_Ds[[#This Row],[With Margins ($)]]</f>
        <v>0.28148148148148144</v>
      </c>
    </row>
    <row r="448" spans="1:8" x14ac:dyDescent="0.3">
      <c r="A448">
        <v>561720</v>
      </c>
      <c r="B448" t="s">
        <v>911</v>
      </c>
      <c r="C448" s="33">
        <v>0.214</v>
      </c>
      <c r="D448" s="33">
        <v>0</v>
      </c>
      <c r="E448" s="33">
        <v>0.214</v>
      </c>
      <c r="F448" s="33">
        <f>SCE_Ds[[#This Row],[With Margins ($)]]-SCE_Ds[[#This Row],[ without Margins ( $)]]</f>
        <v>0</v>
      </c>
      <c r="G448" s="11" t="str">
        <f>IF(E447&lt;0.5,"Low", "High")</f>
        <v>Low</v>
      </c>
      <c r="H448" s="9">
        <f>SCE_Ds[[#This Row],[Margins ($)]]/SCE_Ds[[#This Row],[With Margins ($)]]</f>
        <v>0</v>
      </c>
    </row>
    <row r="449" spans="1:8" x14ac:dyDescent="0.3">
      <c r="A449">
        <v>339910</v>
      </c>
      <c r="B449" t="s">
        <v>515</v>
      </c>
      <c r="C449" s="33">
        <v>5.5E-2</v>
      </c>
      <c r="D449" s="33">
        <v>5.2999999999999999E-2</v>
      </c>
      <c r="E449" s="33">
        <v>0.108</v>
      </c>
      <c r="F449" s="33">
        <f>SCE_Ds[[#This Row],[With Margins ($)]]-SCE_Ds[[#This Row],[ without Margins ( $)]]</f>
        <v>5.2999999999999999E-2</v>
      </c>
      <c r="G449" s="11" t="str">
        <f>IF(E448&lt;0.5,"Low", "High")</f>
        <v>Low</v>
      </c>
      <c r="H449" s="9">
        <f>SCE_Ds[[#This Row],[Margins ($)]]/SCE_Ds[[#This Row],[With Margins ($)]]</f>
        <v>0.49074074074074076</v>
      </c>
    </row>
    <row r="450" spans="1:8" x14ac:dyDescent="0.3">
      <c r="A450">
        <v>448310</v>
      </c>
      <c r="B450" t="s">
        <v>642</v>
      </c>
      <c r="C450" s="33">
        <v>0.13800000000000001</v>
      </c>
      <c r="D450" s="33">
        <v>0</v>
      </c>
      <c r="E450" s="33">
        <v>0.13800000000000001</v>
      </c>
      <c r="F450" s="33">
        <f>SCE_Ds[[#This Row],[With Margins ($)]]-SCE_Ds[[#This Row],[ without Margins ( $)]]</f>
        <v>0</v>
      </c>
      <c r="G450" s="11" t="str">
        <f>IF(E449&lt;0.5,"Low", "High")</f>
        <v>Low</v>
      </c>
      <c r="H450" s="9">
        <f>SCE_Ds[[#This Row],[Margins ($)]]/SCE_Ds[[#This Row],[With Margins ($)]]</f>
        <v>0</v>
      </c>
    </row>
    <row r="451" spans="1:8" x14ac:dyDescent="0.3">
      <c r="A451">
        <v>423940</v>
      </c>
      <c r="B451" t="s">
        <v>562</v>
      </c>
      <c r="C451" s="33">
        <v>0.108</v>
      </c>
      <c r="D451" s="33">
        <v>0</v>
      </c>
      <c r="E451" s="33">
        <v>0.108</v>
      </c>
      <c r="F451" s="33">
        <f>SCE_Ds[[#This Row],[With Margins ($)]]-SCE_Ds[[#This Row],[ without Margins ( $)]]</f>
        <v>0</v>
      </c>
      <c r="G451" s="11" t="str">
        <f>IF(E450&lt;0.5,"Low", "High")</f>
        <v>Low</v>
      </c>
      <c r="H451" s="9">
        <f>SCE_Ds[[#This Row],[Margins ($)]]/SCE_Ds[[#This Row],[With Margins ($)]]</f>
        <v>0</v>
      </c>
    </row>
    <row r="452" spans="1:8" x14ac:dyDescent="0.3">
      <c r="A452">
        <v>611210</v>
      </c>
      <c r="B452" t="s">
        <v>930</v>
      </c>
      <c r="C452" s="33">
        <v>0.14000000000000001</v>
      </c>
      <c r="D452" s="33">
        <v>0</v>
      </c>
      <c r="E452" s="33">
        <v>0.14000000000000001</v>
      </c>
      <c r="F452" s="33">
        <f>SCE_Ds[[#This Row],[With Margins ($)]]-SCE_Ds[[#This Row],[ without Margins ( $)]]</f>
        <v>0</v>
      </c>
      <c r="G452" s="11" t="str">
        <f>IF(E451&lt;0.5,"Low", "High")</f>
        <v>Low</v>
      </c>
      <c r="H452" s="9">
        <f>SCE_Ds[[#This Row],[Margins ($)]]/SCE_Ds[[#This Row],[With Margins ($)]]</f>
        <v>0</v>
      </c>
    </row>
    <row r="453" spans="1:8" x14ac:dyDescent="0.3">
      <c r="A453">
        <v>212324</v>
      </c>
      <c r="B453" t="s">
        <v>93</v>
      </c>
      <c r="C453" s="33">
        <v>0.184</v>
      </c>
      <c r="D453" s="33">
        <v>0.125</v>
      </c>
      <c r="E453" s="33">
        <v>0.309</v>
      </c>
      <c r="F453" s="33">
        <f>SCE_Ds[[#This Row],[With Margins ($)]]-SCE_Ds[[#This Row],[ without Margins ( $)]]</f>
        <v>0.125</v>
      </c>
      <c r="G453" s="11" t="str">
        <f>IF(E452&lt;0.5,"Low", "High")</f>
        <v>Low</v>
      </c>
      <c r="H453" s="9">
        <f>SCE_Ds[[#This Row],[Margins ($)]]/SCE_Ds[[#This Row],[With Margins ($)]]</f>
        <v>0.4045307443365696</v>
      </c>
    </row>
    <row r="454" spans="1:8" x14ac:dyDescent="0.3">
      <c r="A454">
        <v>621492</v>
      </c>
      <c r="B454" t="s">
        <v>960</v>
      </c>
      <c r="C454" s="33">
        <v>9.6000000000000002E-2</v>
      </c>
      <c r="D454" s="33">
        <v>0</v>
      </c>
      <c r="E454" s="33">
        <v>9.6000000000000002E-2</v>
      </c>
      <c r="F454" s="33">
        <f>SCE_Ds[[#This Row],[With Margins ($)]]-SCE_Ds[[#This Row],[ without Margins ( $)]]</f>
        <v>0</v>
      </c>
      <c r="G454" s="11" t="str">
        <f>IF(E453&lt;0.5,"Low", "High")</f>
        <v>Low</v>
      </c>
      <c r="H454" s="9">
        <f>SCE_Ds[[#This Row],[Margins ($)]]/SCE_Ds[[#This Row],[With Margins ($)]]</f>
        <v>0</v>
      </c>
    </row>
    <row r="455" spans="1:8" x14ac:dyDescent="0.3">
      <c r="A455">
        <v>313240</v>
      </c>
      <c r="B455" t="s">
        <v>204</v>
      </c>
      <c r="C455" s="33">
        <v>0.48</v>
      </c>
      <c r="D455" s="34">
        <v>2.7E-2</v>
      </c>
      <c r="E455" s="33">
        <v>0.50700000000000001</v>
      </c>
      <c r="F455" s="33">
        <f>SCE_Ds[[#This Row],[With Margins ($)]]-SCE_Ds[[#This Row],[ without Margins ( $)]]</f>
        <v>2.7000000000000024E-2</v>
      </c>
      <c r="G455" s="11" t="str">
        <f>IF(E454&lt;0.5,"Low", "High")</f>
        <v>Low</v>
      </c>
      <c r="H455" s="9">
        <f>SCE_Ds[[#This Row],[Margins ($)]]/SCE_Ds[[#This Row],[With Margins ($)]]</f>
        <v>5.3254437869822487E-2</v>
      </c>
    </row>
    <row r="456" spans="1:8" x14ac:dyDescent="0.3">
      <c r="A456">
        <v>813930</v>
      </c>
      <c r="B456" t="s">
        <v>1079</v>
      </c>
      <c r="C456" s="33">
        <v>0.128</v>
      </c>
      <c r="D456" s="33">
        <v>0</v>
      </c>
      <c r="E456" s="33">
        <v>0.128</v>
      </c>
      <c r="F456" s="33">
        <f>SCE_Ds[[#This Row],[With Margins ($)]]-SCE_Ds[[#This Row],[ without Margins ( $)]]</f>
        <v>0</v>
      </c>
      <c r="G456" s="11" t="str">
        <f>IF(E455&lt;0.5,"Low", "High")</f>
        <v>High</v>
      </c>
      <c r="H456" s="9">
        <f>SCE_Ds[[#This Row],[Margins ($)]]/SCE_Ds[[#This Row],[With Margins ($)]]</f>
        <v>0</v>
      </c>
    </row>
    <row r="457" spans="1:8" x14ac:dyDescent="0.3">
      <c r="A457">
        <v>326130</v>
      </c>
      <c r="B457" t="s">
        <v>294</v>
      </c>
      <c r="C457" s="33">
        <v>0.441</v>
      </c>
      <c r="D457" s="33">
        <v>1.9E-2</v>
      </c>
      <c r="E457" s="33">
        <v>0.46</v>
      </c>
      <c r="F457" s="33">
        <f>SCE_Ds[[#This Row],[With Margins ($)]]-SCE_Ds[[#This Row],[ without Margins ( $)]]</f>
        <v>1.9000000000000017E-2</v>
      </c>
      <c r="G457" s="11" t="str">
        <f>IF(E456&lt;0.5,"Low", "High")</f>
        <v>Low</v>
      </c>
      <c r="H457" s="9">
        <f>SCE_Ds[[#This Row],[Margins ($)]]/SCE_Ds[[#This Row],[With Margins ($)]]</f>
        <v>4.1304347826086954E-2</v>
      </c>
    </row>
    <row r="458" spans="1:8" x14ac:dyDescent="0.3">
      <c r="A458">
        <v>237210</v>
      </c>
      <c r="B458" t="s">
        <v>121</v>
      </c>
      <c r="C458" s="33">
        <v>0.221</v>
      </c>
      <c r="D458" s="33">
        <v>0</v>
      </c>
      <c r="E458" s="33">
        <v>0.221</v>
      </c>
      <c r="F458" s="33">
        <f>SCE_Ds[[#This Row],[With Margins ($)]]-SCE_Ds[[#This Row],[ without Margins ( $)]]</f>
        <v>0</v>
      </c>
      <c r="G458" s="11" t="str">
        <f>IF(E457&lt;0.5,"Low", "High")</f>
        <v>Low</v>
      </c>
      <c r="H458" s="9">
        <f>SCE_Ds[[#This Row],[Margins ($)]]/SCE_Ds[[#This Row],[With Margins ($)]]</f>
        <v>0</v>
      </c>
    </row>
    <row r="459" spans="1:8" x14ac:dyDescent="0.3">
      <c r="A459">
        <v>541320</v>
      </c>
      <c r="B459" t="s">
        <v>839</v>
      </c>
      <c r="C459" s="33">
        <v>0.10299999999999999</v>
      </c>
      <c r="D459" s="33">
        <v>0</v>
      </c>
      <c r="E459" s="33">
        <v>0.10299999999999999</v>
      </c>
      <c r="F459" s="33">
        <f>SCE_Ds[[#This Row],[With Margins ($)]]-SCE_Ds[[#This Row],[ without Margins ( $)]]</f>
        <v>0</v>
      </c>
      <c r="G459" s="11" t="str">
        <f>IF(E458&lt;0.5,"Low", "High")</f>
        <v>Low</v>
      </c>
      <c r="H459" s="9">
        <f>SCE_Ds[[#This Row],[Margins ($)]]/SCE_Ds[[#This Row],[With Margins ($)]]</f>
        <v>0</v>
      </c>
    </row>
    <row r="460" spans="1:8" x14ac:dyDescent="0.3">
      <c r="A460">
        <v>561730</v>
      </c>
      <c r="B460" t="s">
        <v>912</v>
      </c>
      <c r="C460" s="33">
        <v>0.214</v>
      </c>
      <c r="D460" s="33">
        <v>0</v>
      </c>
      <c r="E460" s="33">
        <v>0.214</v>
      </c>
      <c r="F460" s="33">
        <f>SCE_Ds[[#This Row],[With Margins ($)]]-SCE_Ds[[#This Row],[ without Margins ( $)]]</f>
        <v>0</v>
      </c>
      <c r="G460" s="11" t="str">
        <f>IF(E459&lt;0.5,"Low", "High")</f>
        <v>Low</v>
      </c>
      <c r="H460" s="9">
        <f>SCE_Ds[[#This Row],[Margins ($)]]/SCE_Ds[[#This Row],[With Margins ($)]]</f>
        <v>0</v>
      </c>
    </row>
    <row r="461" spans="1:8" x14ac:dyDescent="0.3">
      <c r="A461">
        <v>611630</v>
      </c>
      <c r="B461" t="s">
        <v>943</v>
      </c>
      <c r="C461" s="33">
        <v>0.108</v>
      </c>
      <c r="D461" s="33">
        <v>0</v>
      </c>
      <c r="E461" s="33">
        <v>0.108</v>
      </c>
      <c r="F461" s="33">
        <f>SCE_Ds[[#This Row],[With Margins ($)]]-SCE_Ds[[#This Row],[ without Margins ( $)]]</f>
        <v>0</v>
      </c>
      <c r="G461" s="11" t="str">
        <f>IF(E460&lt;0.5,"Low", "High")</f>
        <v>Low</v>
      </c>
      <c r="H461" s="9">
        <f>SCE_Ds[[#This Row],[Margins ($)]]/SCE_Ds[[#This Row],[With Margins ($)]]</f>
        <v>0</v>
      </c>
    </row>
    <row r="462" spans="1:8" x14ac:dyDescent="0.3">
      <c r="A462">
        <v>333112</v>
      </c>
      <c r="B462" t="s">
        <v>381</v>
      </c>
      <c r="C462" s="33">
        <v>5.1999999999999998E-2</v>
      </c>
      <c r="D462" s="33">
        <v>6.8000000000000005E-2</v>
      </c>
      <c r="E462" s="33">
        <v>0.12</v>
      </c>
      <c r="F462" s="33">
        <f>SCE_Ds[[#This Row],[With Margins ($)]]-SCE_Ds[[#This Row],[ without Margins ( $)]]</f>
        <v>6.8000000000000005E-2</v>
      </c>
      <c r="G462" s="11" t="str">
        <f>IF(E461&lt;0.5,"Low", "High")</f>
        <v>Low</v>
      </c>
      <c r="H462" s="9">
        <f>SCE_Ds[[#This Row],[Margins ($)]]/SCE_Ds[[#This Row],[With Margins ($)]]</f>
        <v>0.56666666666666676</v>
      </c>
    </row>
    <row r="463" spans="1:8" x14ac:dyDescent="0.3">
      <c r="A463">
        <v>316110</v>
      </c>
      <c r="B463" t="s">
        <v>219</v>
      </c>
      <c r="C463" s="33">
        <v>0.222</v>
      </c>
      <c r="D463" s="33">
        <v>0.06</v>
      </c>
      <c r="E463" s="33">
        <v>0.28199999999999997</v>
      </c>
      <c r="F463" s="33">
        <f>SCE_Ds[[#This Row],[With Margins ($)]]-SCE_Ds[[#This Row],[ without Margins ( $)]]</f>
        <v>5.999999999999997E-2</v>
      </c>
      <c r="G463" s="11" t="str">
        <f>IF(E462&lt;0.5,"Low", "High")</f>
        <v>Low</v>
      </c>
      <c r="H463" s="9">
        <f>SCE_Ds[[#This Row],[Margins ($)]]/SCE_Ds[[#This Row],[With Margins ($)]]</f>
        <v>0.21276595744680851</v>
      </c>
    </row>
    <row r="464" spans="1:8" x14ac:dyDescent="0.3">
      <c r="A464">
        <v>531130</v>
      </c>
      <c r="B464" t="s">
        <v>807</v>
      </c>
      <c r="C464" s="33">
        <v>0.246</v>
      </c>
      <c r="D464" s="33">
        <v>0</v>
      </c>
      <c r="E464" s="33">
        <v>0.246</v>
      </c>
      <c r="F464" s="33">
        <f>SCE_Ds[[#This Row],[With Margins ($)]]-SCE_Ds[[#This Row],[ without Margins ( $)]]</f>
        <v>0</v>
      </c>
      <c r="G464" s="11" t="str">
        <f>IF(E463&lt;0.5,"Low", "High")</f>
        <v>Low</v>
      </c>
      <c r="H464" s="9">
        <f>SCE_Ds[[#This Row],[Margins ($)]]/SCE_Ds[[#This Row],[With Margins ($)]]</f>
        <v>0</v>
      </c>
    </row>
    <row r="465" spans="1:8" x14ac:dyDescent="0.3">
      <c r="A465">
        <v>533110</v>
      </c>
      <c r="B465" t="s">
        <v>829</v>
      </c>
      <c r="C465" s="33">
        <v>5.1999999999999998E-2</v>
      </c>
      <c r="D465" s="33">
        <v>0</v>
      </c>
      <c r="E465" s="33">
        <v>5.1999999999999998E-2</v>
      </c>
      <c r="F465" s="33">
        <f>SCE_Ds[[#This Row],[With Margins ($)]]-SCE_Ds[[#This Row],[ without Margins ( $)]]</f>
        <v>0</v>
      </c>
      <c r="G465" s="11" t="str">
        <f>IF(E464&lt;0.5,"Low", "High")</f>
        <v>Low</v>
      </c>
      <c r="H465" s="9">
        <f>SCE_Ds[[#This Row],[Margins ($)]]/SCE_Ds[[#This Row],[With Margins ($)]]</f>
        <v>0</v>
      </c>
    </row>
    <row r="466" spans="1:8" x14ac:dyDescent="0.3">
      <c r="A466">
        <v>531120</v>
      </c>
      <c r="B466" t="s">
        <v>805</v>
      </c>
      <c r="C466" s="33">
        <v>0.246</v>
      </c>
      <c r="D466" s="33">
        <v>0</v>
      </c>
      <c r="E466" s="33">
        <v>0.246</v>
      </c>
      <c r="F466" s="33">
        <f>SCE_Ds[[#This Row],[With Margins ($)]]-SCE_Ds[[#This Row],[ without Margins ( $)]]</f>
        <v>0</v>
      </c>
      <c r="G466" s="11" t="str">
        <f>IF(E465&lt;0.5,"Low", "High")</f>
        <v>Low</v>
      </c>
      <c r="H466" s="9">
        <f>SCE_Ds[[#This Row],[Margins ($)]]/SCE_Ds[[#This Row],[With Margins ($)]]</f>
        <v>0</v>
      </c>
    </row>
    <row r="467" spans="1:8" x14ac:dyDescent="0.3">
      <c r="A467">
        <v>531190</v>
      </c>
      <c r="B467" t="s">
        <v>808</v>
      </c>
      <c r="C467" s="33">
        <v>0.246</v>
      </c>
      <c r="D467" s="33">
        <v>0</v>
      </c>
      <c r="E467" s="33">
        <v>0.246</v>
      </c>
      <c r="F467" s="33">
        <f>SCE_Ds[[#This Row],[With Margins ($)]]-SCE_Ds[[#This Row],[ without Margins ( $)]]</f>
        <v>0</v>
      </c>
      <c r="G467" s="11" t="str">
        <f>IF(E466&lt;0.5,"Low", "High")</f>
        <v>Low</v>
      </c>
      <c r="H467" s="9">
        <f>SCE_Ds[[#This Row],[Margins ($)]]/SCE_Ds[[#This Row],[With Margins ($)]]</f>
        <v>0</v>
      </c>
    </row>
    <row r="468" spans="1:8" x14ac:dyDescent="0.3">
      <c r="A468">
        <v>531110</v>
      </c>
      <c r="B468" t="s">
        <v>803</v>
      </c>
      <c r="C468" s="33">
        <v>3.3000000000000002E-2</v>
      </c>
      <c r="D468" s="33">
        <v>0</v>
      </c>
      <c r="E468" s="33">
        <v>3.3000000000000002E-2</v>
      </c>
      <c r="F468" s="33">
        <f>SCE_Ds[[#This Row],[With Margins ($)]]-SCE_Ds[[#This Row],[ without Margins ( $)]]</f>
        <v>0</v>
      </c>
      <c r="G468" s="11" t="str">
        <f>IF(E467&lt;0.5,"Low", "High")</f>
        <v>Low</v>
      </c>
      <c r="H468" s="9">
        <f>SCE_Ds[[#This Row],[Margins ($)]]/SCE_Ds[[#This Row],[With Margins ($)]]</f>
        <v>0</v>
      </c>
    </row>
    <row r="469" spans="1:8" x14ac:dyDescent="0.3">
      <c r="A469">
        <v>519120</v>
      </c>
      <c r="B469" t="s">
        <v>755</v>
      </c>
      <c r="C469" s="33">
        <v>6.4000000000000001E-2</v>
      </c>
      <c r="D469" s="33">
        <v>0</v>
      </c>
      <c r="E469" s="33">
        <v>6.4000000000000001E-2</v>
      </c>
      <c r="F469" s="33">
        <f>SCE_Ds[[#This Row],[With Margins ($)]]-SCE_Ds[[#This Row],[ without Margins ( $)]]</f>
        <v>0</v>
      </c>
      <c r="G469" s="11" t="str">
        <f>IF(E468&lt;0.5,"Low", "High")</f>
        <v>Low</v>
      </c>
      <c r="H469" s="9">
        <f>SCE_Ds[[#This Row],[Margins ($)]]/SCE_Ds[[#This Row],[With Margins ($)]]</f>
        <v>0</v>
      </c>
    </row>
    <row r="470" spans="1:8" x14ac:dyDescent="0.3">
      <c r="A470">
        <v>336112</v>
      </c>
      <c r="B470" t="s">
        <v>468</v>
      </c>
      <c r="C470" s="33">
        <v>0.24099999999999999</v>
      </c>
      <c r="D470" s="33">
        <v>2.7E-2</v>
      </c>
      <c r="E470" s="33">
        <v>0.26800000000000002</v>
      </c>
      <c r="F470" s="33">
        <f>SCE_Ds[[#This Row],[With Margins ($)]]-SCE_Ds[[#This Row],[ without Margins ( $)]]</f>
        <v>2.7000000000000024E-2</v>
      </c>
      <c r="G470" s="11" t="str">
        <f>IF(E469&lt;0.5,"Low", "High")</f>
        <v>Low</v>
      </c>
      <c r="H470" s="9">
        <f>SCE_Ds[[#This Row],[Margins ($)]]/SCE_Ds[[#This Row],[With Margins ($)]]</f>
        <v>0.10074626865671642</v>
      </c>
    </row>
    <row r="471" spans="1:8" x14ac:dyDescent="0.3">
      <c r="A471">
        <v>327410</v>
      </c>
      <c r="B471" t="s">
        <v>316</v>
      </c>
      <c r="C471" s="33">
        <v>1.56</v>
      </c>
      <c r="D471" s="33">
        <v>6.3E-2</v>
      </c>
      <c r="E471" s="33">
        <v>1.623</v>
      </c>
      <c r="F471" s="33">
        <f>SCE_Ds[[#This Row],[With Margins ($)]]-SCE_Ds[[#This Row],[ without Margins ( $)]]</f>
        <v>6.2999999999999945E-2</v>
      </c>
      <c r="G471" s="11" t="str">
        <f>IF(E470&lt;0.5,"Low", "High")</f>
        <v>Low</v>
      </c>
      <c r="H471" s="9">
        <f>SCE_Ds[[#This Row],[Margins ($)]]/SCE_Ds[[#This Row],[With Margins ($)]]</f>
        <v>3.8817005545286505E-2</v>
      </c>
    </row>
    <row r="472" spans="1:8" x14ac:dyDescent="0.3">
      <c r="A472">
        <v>722513</v>
      </c>
      <c r="B472" t="s">
        <v>1029</v>
      </c>
      <c r="C472" s="33">
        <v>0.255</v>
      </c>
      <c r="D472" s="33">
        <v>0</v>
      </c>
      <c r="E472" s="33">
        <v>0.255</v>
      </c>
      <c r="F472" s="33">
        <f>SCE_Ds[[#This Row],[With Margins ($)]]-SCE_Ds[[#This Row],[ without Margins ( $)]]</f>
        <v>0</v>
      </c>
      <c r="G472" s="11" t="str">
        <f>IF(E471&lt;0.5,"Low", "High")</f>
        <v>High</v>
      </c>
      <c r="H472" s="9">
        <f>SCE_Ds[[#This Row],[Margins ($)]]/SCE_Ds[[#This Row],[With Margins ($)]]</f>
        <v>0</v>
      </c>
    </row>
    <row r="473" spans="1:8" x14ac:dyDescent="0.3">
      <c r="A473">
        <v>485320</v>
      </c>
      <c r="B473" t="s">
        <v>691</v>
      </c>
      <c r="C473" s="33">
        <v>0.56599999999999995</v>
      </c>
      <c r="D473" s="34">
        <v>0</v>
      </c>
      <c r="E473" s="33">
        <v>0.56599999999999995</v>
      </c>
      <c r="F473" s="33">
        <f>SCE_Ds[[#This Row],[With Margins ($)]]-SCE_Ds[[#This Row],[ without Margins ( $)]]</f>
        <v>0</v>
      </c>
      <c r="G473" s="11" t="str">
        <f>IF(E472&lt;0.5,"Low", "High")</f>
        <v>Low</v>
      </c>
      <c r="H473" s="9">
        <f>SCE_Ds[[#This Row],[Margins ($)]]/SCE_Ds[[#This Row],[With Margins ($)]]</f>
        <v>0</v>
      </c>
    </row>
    <row r="474" spans="1:8" x14ac:dyDescent="0.3">
      <c r="A474">
        <v>482111</v>
      </c>
      <c r="B474" t="s">
        <v>671</v>
      </c>
      <c r="C474" s="33">
        <v>0.46600000000000003</v>
      </c>
      <c r="D474" s="34">
        <v>0</v>
      </c>
      <c r="E474" s="33">
        <v>0.46600000000000003</v>
      </c>
      <c r="F474" s="33">
        <f>SCE_Ds[[#This Row],[With Margins ($)]]-SCE_Ds[[#This Row],[ without Margins ( $)]]</f>
        <v>0</v>
      </c>
      <c r="G474" s="11" t="str">
        <f>IF(E473&lt;0.5,"Low", "High")</f>
        <v>High</v>
      </c>
      <c r="H474" s="9">
        <f>SCE_Ds[[#This Row],[Margins ($)]]/SCE_Ds[[#This Row],[With Margins ($)]]</f>
        <v>0</v>
      </c>
    </row>
    <row r="475" spans="1:8" x14ac:dyDescent="0.3">
      <c r="A475">
        <v>812331</v>
      </c>
      <c r="B475" t="s">
        <v>1060</v>
      </c>
      <c r="C475" s="33">
        <v>0.158</v>
      </c>
      <c r="D475" s="33">
        <v>0</v>
      </c>
      <c r="E475" s="33">
        <v>0.158</v>
      </c>
      <c r="F475" s="33">
        <f>SCE_Ds[[#This Row],[With Margins ($)]]-SCE_Ds[[#This Row],[ without Margins ( $)]]</f>
        <v>0</v>
      </c>
      <c r="G475" s="11" t="str">
        <f>IF(E474&lt;0.5,"Low", "High")</f>
        <v>Low</v>
      </c>
      <c r="H475" s="9">
        <f>SCE_Ds[[#This Row],[Margins ($)]]/SCE_Ds[[#This Row],[With Margins ($)]]</f>
        <v>0</v>
      </c>
    </row>
    <row r="476" spans="1:8" x14ac:dyDescent="0.3">
      <c r="A476">
        <v>424520</v>
      </c>
      <c r="B476" t="s">
        <v>583</v>
      </c>
      <c r="C476" s="33">
        <v>0.14399999999999999</v>
      </c>
      <c r="D476" s="33">
        <v>0</v>
      </c>
      <c r="E476" s="33">
        <v>0.14399999999999999</v>
      </c>
      <c r="F476" s="33">
        <f>SCE_Ds[[#This Row],[With Margins ($)]]-SCE_Ds[[#This Row],[ without Margins ( $)]]</f>
        <v>0</v>
      </c>
      <c r="G476" s="11" t="str">
        <f>IF(E475&lt;0.5,"Low", "High")</f>
        <v>Low</v>
      </c>
      <c r="H476" s="9">
        <f>SCE_Ds[[#This Row],[Margins ($)]]/SCE_Ds[[#This Row],[With Margins ($)]]</f>
        <v>0</v>
      </c>
    </row>
    <row r="477" spans="1:8" x14ac:dyDescent="0.3">
      <c r="A477">
        <v>492210</v>
      </c>
      <c r="B477" t="s">
        <v>719</v>
      </c>
      <c r="C477" s="33">
        <v>0.30299999999999999</v>
      </c>
      <c r="D477" s="33">
        <v>0</v>
      </c>
      <c r="E477" s="33">
        <v>0.30299999999999999</v>
      </c>
      <c r="F477" s="33">
        <f>SCE_Ds[[#This Row],[With Margins ($)]]-SCE_Ds[[#This Row],[ without Margins ( $)]]</f>
        <v>0</v>
      </c>
      <c r="G477" s="11" t="str">
        <f>IF(E476&lt;0.5,"Low", "High")</f>
        <v>Low</v>
      </c>
      <c r="H477" s="9">
        <f>SCE_Ds[[#This Row],[Margins ($)]]/SCE_Ds[[#This Row],[With Margins ($)]]</f>
        <v>0</v>
      </c>
    </row>
    <row r="478" spans="1:8" x14ac:dyDescent="0.3">
      <c r="A478">
        <v>561622</v>
      </c>
      <c r="B478" t="s">
        <v>909</v>
      </c>
      <c r="C478" s="33">
        <v>7.3999999999999996E-2</v>
      </c>
      <c r="D478" s="33">
        <v>0</v>
      </c>
      <c r="E478" s="33">
        <v>7.3999999999999996E-2</v>
      </c>
      <c r="F478" s="33">
        <f>SCE_Ds[[#This Row],[With Margins ($)]]-SCE_Ds[[#This Row],[ without Margins ( $)]]</f>
        <v>0</v>
      </c>
      <c r="G478" s="11" t="str">
        <f>IF(E477&lt;0.5,"Low", "High")</f>
        <v>Low</v>
      </c>
      <c r="H478" s="9">
        <f>SCE_Ds[[#This Row],[Margins ($)]]/SCE_Ds[[#This Row],[With Margins ($)]]</f>
        <v>0</v>
      </c>
    </row>
    <row r="479" spans="1:8" x14ac:dyDescent="0.3">
      <c r="A479">
        <v>113310</v>
      </c>
      <c r="B479" t="s">
        <v>61</v>
      </c>
      <c r="C479" s="33">
        <v>0.19900000000000001</v>
      </c>
      <c r="D479" s="33">
        <v>4.4999999999999998E-2</v>
      </c>
      <c r="E479" s="33">
        <v>0.24299999999999999</v>
      </c>
      <c r="F479" s="33">
        <f>SCE_Ds[[#This Row],[With Margins ($)]]-SCE_Ds[[#This Row],[ without Margins ( $)]]</f>
        <v>4.3999999999999984E-2</v>
      </c>
      <c r="G479" s="11" t="str">
        <f>IF(E478&lt;0.5,"Low", "High")</f>
        <v>Low</v>
      </c>
      <c r="H479" s="9">
        <f>SCE_Ds[[#This Row],[Margins ($)]]/SCE_Ds[[#This Row],[With Margins ($)]]</f>
        <v>0.18518518518518517</v>
      </c>
    </row>
    <row r="480" spans="1:8" x14ac:dyDescent="0.3">
      <c r="A480">
        <v>448320</v>
      </c>
      <c r="B480" t="s">
        <v>643</v>
      </c>
      <c r="C480" s="33">
        <v>0.13800000000000001</v>
      </c>
      <c r="D480" s="33">
        <v>0</v>
      </c>
      <c r="E480" s="33">
        <v>0.13800000000000001</v>
      </c>
      <c r="F480" s="33">
        <f>SCE_Ds[[#This Row],[With Margins ($)]]-SCE_Ds[[#This Row],[ without Margins ( $)]]</f>
        <v>0</v>
      </c>
      <c r="G480" s="11" t="str">
        <f>IF(E479&lt;0.5,"Low", "High")</f>
        <v>Low</v>
      </c>
      <c r="H480" s="9">
        <f>SCE_Ds[[#This Row],[Margins ($)]]/SCE_Ds[[#This Row],[With Margins ($)]]</f>
        <v>0</v>
      </c>
    </row>
    <row r="481" spans="1:8" x14ac:dyDescent="0.3">
      <c r="A481">
        <v>423310</v>
      </c>
      <c r="B481" t="s">
        <v>533</v>
      </c>
      <c r="C481" s="33">
        <v>0.108</v>
      </c>
      <c r="D481" s="33">
        <v>0</v>
      </c>
      <c r="E481" s="33">
        <v>0.108</v>
      </c>
      <c r="F481" s="33">
        <f>SCE_Ds[[#This Row],[With Margins ($)]]-SCE_Ds[[#This Row],[ without Margins ( $)]]</f>
        <v>0</v>
      </c>
      <c r="G481" s="11" t="str">
        <f>IF(E480&lt;0.5,"Low", "High")</f>
        <v>Low</v>
      </c>
      <c r="H481" s="9">
        <f>SCE_Ds[[#This Row],[Margins ($)]]/SCE_Ds[[#This Row],[With Margins ($)]]</f>
        <v>0</v>
      </c>
    </row>
    <row r="482" spans="1:8" x14ac:dyDescent="0.3">
      <c r="A482">
        <v>332710</v>
      </c>
      <c r="B482" t="s">
        <v>362</v>
      </c>
      <c r="C482" s="33">
        <v>0.26200000000000001</v>
      </c>
      <c r="D482" s="33">
        <v>1.6E-2</v>
      </c>
      <c r="E482" s="33">
        <v>0.27800000000000002</v>
      </c>
      <c r="F482" s="33">
        <f>SCE_Ds[[#This Row],[With Margins ($)]]-SCE_Ds[[#This Row],[ without Margins ( $)]]</f>
        <v>1.6000000000000014E-2</v>
      </c>
      <c r="G482" s="11" t="str">
        <f>IF(E481&lt;0.5,"Low", "High")</f>
        <v>Low</v>
      </c>
      <c r="H482" s="9">
        <f>SCE_Ds[[#This Row],[Margins ($)]]/SCE_Ds[[#This Row],[With Margins ($)]]</f>
        <v>5.755395683453237E-2</v>
      </c>
    </row>
    <row r="483" spans="1:8" x14ac:dyDescent="0.3">
      <c r="A483">
        <v>333517</v>
      </c>
      <c r="B483" t="s">
        <v>401</v>
      </c>
      <c r="C483" s="33">
        <v>0.17599999999999999</v>
      </c>
      <c r="D483" s="33">
        <v>2.3E-2</v>
      </c>
      <c r="E483" s="33">
        <v>0.19900000000000001</v>
      </c>
      <c r="F483" s="33">
        <f>SCE_Ds[[#This Row],[With Margins ($)]]-SCE_Ds[[#This Row],[ without Margins ( $)]]</f>
        <v>2.300000000000002E-2</v>
      </c>
      <c r="G483" s="11" t="str">
        <f>IF(E482&lt;0.5,"Low", "High")</f>
        <v>Low</v>
      </c>
      <c r="H483" s="9">
        <f>SCE_Ds[[#This Row],[Margins ($)]]/SCE_Ds[[#This Row],[With Margins ($)]]</f>
        <v>0.11557788944723617</v>
      </c>
    </row>
    <row r="484" spans="1:8" x14ac:dyDescent="0.3">
      <c r="A484">
        <v>335220</v>
      </c>
      <c r="B484" t="s">
        <v>454</v>
      </c>
      <c r="C484" s="33">
        <v>0.13700000000000001</v>
      </c>
      <c r="D484" s="33">
        <v>3.4000000000000002E-2</v>
      </c>
      <c r="E484" s="33">
        <v>0.17199999999999999</v>
      </c>
      <c r="F484" s="33">
        <f>SCE_Ds[[#This Row],[With Margins ($)]]-SCE_Ds[[#This Row],[ without Margins ( $)]]</f>
        <v>3.4999999999999976E-2</v>
      </c>
      <c r="G484" s="11" t="str">
        <f>IF(E483&lt;0.5,"Low", "High")</f>
        <v>Low</v>
      </c>
      <c r="H484" s="9">
        <f>SCE_Ds[[#This Row],[Margins ($)]]/SCE_Ds[[#This Row],[With Margins ($)]]</f>
        <v>0.19767441860465118</v>
      </c>
    </row>
    <row r="485" spans="1:8" x14ac:dyDescent="0.3">
      <c r="A485">
        <v>311213</v>
      </c>
      <c r="B485" t="s">
        <v>151</v>
      </c>
      <c r="C485" s="33">
        <v>0.73199999999999998</v>
      </c>
      <c r="D485" s="34">
        <v>3.6999999999999998E-2</v>
      </c>
      <c r="E485" s="33">
        <v>0.76900000000000002</v>
      </c>
      <c r="F485" s="33">
        <f>SCE_Ds[[#This Row],[With Margins ($)]]-SCE_Ds[[#This Row],[ without Margins ( $)]]</f>
        <v>3.7000000000000033E-2</v>
      </c>
      <c r="G485" s="11" t="str">
        <f>IF(E484&lt;0.5,"Low", "High")</f>
        <v>Low</v>
      </c>
      <c r="H485" s="9">
        <f>SCE_Ds[[#This Row],[Margins ($)]]/SCE_Ds[[#This Row],[With Margins ($)]]</f>
        <v>4.8114434330299084E-2</v>
      </c>
    </row>
    <row r="486" spans="1:8" x14ac:dyDescent="0.3">
      <c r="A486">
        <v>453930</v>
      </c>
      <c r="B486" t="s">
        <v>659</v>
      </c>
      <c r="C486" s="33">
        <v>0.111</v>
      </c>
      <c r="D486" s="33">
        <v>0</v>
      </c>
      <c r="E486" s="33">
        <v>0.111</v>
      </c>
      <c r="F486" s="33">
        <f>SCE_Ds[[#This Row],[With Margins ($)]]-SCE_Ds[[#This Row],[ without Margins ( $)]]</f>
        <v>0</v>
      </c>
      <c r="G486" s="11" t="str">
        <f>IF(E485&lt;0.5,"Low", "High")</f>
        <v>High</v>
      </c>
      <c r="H486" s="9">
        <f>SCE_Ds[[#This Row],[Margins ($)]]/SCE_Ds[[#This Row],[With Margins ($)]]</f>
        <v>0</v>
      </c>
    </row>
    <row r="487" spans="1:8" x14ac:dyDescent="0.3">
      <c r="A487">
        <v>321991</v>
      </c>
      <c r="B487" t="s">
        <v>235</v>
      </c>
      <c r="C487" s="33">
        <v>0.13500000000000001</v>
      </c>
      <c r="D487" s="33">
        <v>2.9000000000000001E-2</v>
      </c>
      <c r="E487" s="33">
        <v>0.16400000000000001</v>
      </c>
      <c r="F487" s="33">
        <f>SCE_Ds[[#This Row],[With Margins ($)]]-SCE_Ds[[#This Row],[ without Margins ( $)]]</f>
        <v>2.8999999999999998E-2</v>
      </c>
      <c r="G487" s="11" t="str">
        <f>IF(E486&lt;0.5,"Low", "High")</f>
        <v>Low</v>
      </c>
      <c r="H487" s="9">
        <f>SCE_Ds[[#This Row],[Margins ($)]]/SCE_Ds[[#This Row],[With Margins ($)]]</f>
        <v>0.17682926829268292</v>
      </c>
    </row>
    <row r="488" spans="1:8" x14ac:dyDescent="0.3">
      <c r="A488">
        <v>713930</v>
      </c>
      <c r="B488" t="s">
        <v>1012</v>
      </c>
      <c r="C488" s="33">
        <v>0.23499999999999999</v>
      </c>
      <c r="D488" s="33">
        <v>0</v>
      </c>
      <c r="E488" s="33">
        <v>0.23499999999999999</v>
      </c>
      <c r="F488" s="33">
        <f>SCE_Ds[[#This Row],[With Margins ($)]]-SCE_Ds[[#This Row],[ without Margins ( $)]]</f>
        <v>0</v>
      </c>
      <c r="G488" s="11" t="str">
        <f>IF(E487&lt;0.5,"Low", "High")</f>
        <v>Low</v>
      </c>
      <c r="H488" s="9">
        <f>SCE_Ds[[#This Row],[Margins ($)]]/SCE_Ds[[#This Row],[With Margins ($)]]</f>
        <v>0</v>
      </c>
    </row>
    <row r="489" spans="1:8" x14ac:dyDescent="0.3">
      <c r="A489">
        <v>488320</v>
      </c>
      <c r="B489" t="s">
        <v>709</v>
      </c>
      <c r="C489" s="33">
        <v>0.16200000000000001</v>
      </c>
      <c r="D489" s="33">
        <v>0</v>
      </c>
      <c r="E489" s="33">
        <v>0.16200000000000001</v>
      </c>
      <c r="F489" s="33">
        <f>SCE_Ds[[#This Row],[With Margins ($)]]-SCE_Ds[[#This Row],[ without Margins ( $)]]</f>
        <v>0</v>
      </c>
      <c r="G489" s="11" t="str">
        <f>IF(E488&lt;0.5,"Low", "High")</f>
        <v>Low</v>
      </c>
      <c r="H489" s="9">
        <f>SCE_Ds[[#This Row],[Margins ($)]]/SCE_Ds[[#This Row],[With Margins ($)]]</f>
        <v>0</v>
      </c>
    </row>
    <row r="490" spans="1:8" x14ac:dyDescent="0.3">
      <c r="A490">
        <v>541613</v>
      </c>
      <c r="B490" t="s">
        <v>857</v>
      </c>
      <c r="C490" s="33">
        <v>7.8E-2</v>
      </c>
      <c r="D490" s="33">
        <v>0</v>
      </c>
      <c r="E490" s="33">
        <v>7.8E-2</v>
      </c>
      <c r="F490" s="33">
        <f>SCE_Ds[[#This Row],[With Margins ($)]]-SCE_Ds[[#This Row],[ without Margins ( $)]]</f>
        <v>0</v>
      </c>
      <c r="G490" s="11" t="str">
        <f>IF(E489&lt;0.5,"Low", "High")</f>
        <v>Low</v>
      </c>
      <c r="H490" s="9">
        <f>SCE_Ds[[#This Row],[Margins ($)]]/SCE_Ds[[#This Row],[With Margins ($)]]</f>
        <v>0</v>
      </c>
    </row>
    <row r="491" spans="1:8" x14ac:dyDescent="0.3">
      <c r="A491">
        <v>541910</v>
      </c>
      <c r="B491" t="s">
        <v>875</v>
      </c>
      <c r="C491" s="33">
        <v>0.08</v>
      </c>
      <c r="D491" s="33">
        <v>0</v>
      </c>
      <c r="E491" s="33">
        <v>0.08</v>
      </c>
      <c r="F491" s="33">
        <f>SCE_Ds[[#This Row],[With Margins ($)]]-SCE_Ds[[#This Row],[ without Margins ( $)]]</f>
        <v>0</v>
      </c>
      <c r="G491" s="11" t="str">
        <f>IF(E490&lt;0.5,"Low", "High")</f>
        <v>Low</v>
      </c>
      <c r="H491" s="9">
        <f>SCE_Ds[[#This Row],[Margins ($)]]/SCE_Ds[[#This Row],[With Margins ($)]]</f>
        <v>0</v>
      </c>
    </row>
    <row r="492" spans="1:8" x14ac:dyDescent="0.3">
      <c r="A492">
        <v>238140</v>
      </c>
      <c r="B492" t="s">
        <v>131</v>
      </c>
      <c r="C492" s="33">
        <v>0.221</v>
      </c>
      <c r="D492" s="33">
        <v>0</v>
      </c>
      <c r="E492" s="33">
        <v>0.221</v>
      </c>
      <c r="F492" s="33">
        <f>SCE_Ds[[#This Row],[With Margins ($)]]-SCE_Ds[[#This Row],[ without Margins ( $)]]</f>
        <v>0</v>
      </c>
      <c r="G492" s="11" t="str">
        <f>IF(E491&lt;0.5,"Low", "High")</f>
        <v>Low</v>
      </c>
      <c r="H492" s="9">
        <f>SCE_Ds[[#This Row],[Margins ($)]]/SCE_Ds[[#This Row],[With Margins ($)]]</f>
        <v>0</v>
      </c>
    </row>
    <row r="493" spans="1:8" x14ac:dyDescent="0.3">
      <c r="A493">
        <v>562920</v>
      </c>
      <c r="B493" t="s">
        <v>926</v>
      </c>
      <c r="C493" s="33">
        <v>0.98799999999999999</v>
      </c>
      <c r="D493" s="34">
        <v>0</v>
      </c>
      <c r="E493" s="33">
        <v>0.98799999999999999</v>
      </c>
      <c r="F493" s="33">
        <f>SCE_Ds[[#This Row],[With Margins ($)]]-SCE_Ds[[#This Row],[ without Margins ( $)]]</f>
        <v>0</v>
      </c>
      <c r="G493" s="11" t="str">
        <f>IF(E492&lt;0.5,"Low", "High")</f>
        <v>Low</v>
      </c>
      <c r="H493" s="9">
        <f>SCE_Ds[[#This Row],[Margins ($)]]/SCE_Ds[[#This Row],[With Margins ($)]]</f>
        <v>0</v>
      </c>
    </row>
    <row r="494" spans="1:8" x14ac:dyDescent="0.3">
      <c r="A494">
        <v>337910</v>
      </c>
      <c r="B494" t="s">
        <v>508</v>
      </c>
      <c r="C494" s="33">
        <v>0.11</v>
      </c>
      <c r="D494" s="33">
        <v>6.3E-2</v>
      </c>
      <c r="E494" s="33">
        <v>0.17299999999999999</v>
      </c>
      <c r="F494" s="33">
        <f>SCE_Ds[[#This Row],[With Margins ($)]]-SCE_Ds[[#This Row],[ without Margins ( $)]]</f>
        <v>6.2999999999999987E-2</v>
      </c>
      <c r="G494" s="11" t="str">
        <f>IF(E493&lt;0.5,"Low", "High")</f>
        <v>High</v>
      </c>
      <c r="H494" s="9">
        <f>SCE_Ds[[#This Row],[Margins ($)]]/SCE_Ds[[#This Row],[With Margins ($)]]</f>
        <v>0.3641618497109827</v>
      </c>
    </row>
    <row r="495" spans="1:8" x14ac:dyDescent="0.3">
      <c r="A495">
        <v>311941</v>
      </c>
      <c r="B495" t="s">
        <v>189</v>
      </c>
      <c r="C495" s="33">
        <v>0.30299999999999999</v>
      </c>
      <c r="D495" s="33">
        <v>0.04</v>
      </c>
      <c r="E495" s="33">
        <v>0.34399999999999997</v>
      </c>
      <c r="F495" s="33">
        <f>SCE_Ds[[#This Row],[With Margins ($)]]-SCE_Ds[[#This Row],[ without Margins ( $)]]</f>
        <v>4.0999999999999981E-2</v>
      </c>
      <c r="G495" s="11" t="str">
        <f>IF(E494&lt;0.5,"Low", "High")</f>
        <v>Low</v>
      </c>
      <c r="H495" s="9">
        <f>SCE_Ds[[#This Row],[Margins ($)]]/SCE_Ds[[#This Row],[With Margins ($)]]</f>
        <v>0.11627906976744187</v>
      </c>
    </row>
    <row r="496" spans="1:8" x14ac:dyDescent="0.3">
      <c r="A496">
        <v>333914</v>
      </c>
      <c r="B496" t="s">
        <v>408</v>
      </c>
      <c r="C496" s="33">
        <v>0.223</v>
      </c>
      <c r="D496" s="33">
        <v>0</v>
      </c>
      <c r="E496" s="33">
        <v>0.223</v>
      </c>
      <c r="F496" s="33">
        <f>SCE_Ds[[#This Row],[With Margins ($)]]-SCE_Ds[[#This Row],[ without Margins ( $)]]</f>
        <v>0</v>
      </c>
      <c r="G496" s="11" t="str">
        <f>IF(E495&lt;0.5,"Low", "High")</f>
        <v>Low</v>
      </c>
      <c r="H496" s="9">
        <f>SCE_Ds[[#This Row],[Margins ($)]]/SCE_Ds[[#This Row],[With Margins ($)]]</f>
        <v>0</v>
      </c>
    </row>
    <row r="497" spans="1:8" x14ac:dyDescent="0.3">
      <c r="A497">
        <v>424470</v>
      </c>
      <c r="B497" t="s">
        <v>579</v>
      </c>
      <c r="C497" s="33">
        <v>0.159</v>
      </c>
      <c r="D497" s="33">
        <v>0</v>
      </c>
      <c r="E497" s="33">
        <v>0.159</v>
      </c>
      <c r="F497" s="33">
        <f>SCE_Ds[[#This Row],[With Margins ($)]]-SCE_Ds[[#This Row],[ without Margins ( $)]]</f>
        <v>0</v>
      </c>
      <c r="G497" s="11" t="str">
        <f>IF(E496&lt;0.5,"Low", "High")</f>
        <v>Low</v>
      </c>
      <c r="H497" s="9">
        <f>SCE_Ds[[#This Row],[Margins ($)]]/SCE_Ds[[#This Row],[With Margins ($)]]</f>
        <v>0</v>
      </c>
    </row>
    <row r="498" spans="1:8" x14ac:dyDescent="0.3">
      <c r="A498">
        <v>445210</v>
      </c>
      <c r="B498" t="s">
        <v>621</v>
      </c>
      <c r="C498" s="33">
        <v>0.186</v>
      </c>
      <c r="D498" s="33">
        <v>0</v>
      </c>
      <c r="E498" s="33">
        <v>0.186</v>
      </c>
      <c r="F498" s="33">
        <f>SCE_Ds[[#This Row],[With Margins ($)]]-SCE_Ds[[#This Row],[ without Margins ( $)]]</f>
        <v>0</v>
      </c>
      <c r="G498" s="11" t="str">
        <f>IF(E497&lt;0.5,"Low", "High")</f>
        <v>Low</v>
      </c>
      <c r="H498" s="9">
        <f>SCE_Ds[[#This Row],[Margins ($)]]/SCE_Ds[[#This Row],[With Margins ($)]]</f>
        <v>0</v>
      </c>
    </row>
    <row r="499" spans="1:8" x14ac:dyDescent="0.3">
      <c r="A499">
        <v>311612</v>
      </c>
      <c r="B499" t="s">
        <v>174</v>
      </c>
      <c r="C499" s="33">
        <v>1.0860000000000001</v>
      </c>
      <c r="D499" s="34">
        <v>3.3000000000000002E-2</v>
      </c>
      <c r="E499" s="33">
        <v>1.1200000000000001</v>
      </c>
      <c r="F499" s="33">
        <f>SCE_Ds[[#This Row],[With Margins ($)]]-SCE_Ds[[#This Row],[ without Margins ( $)]]</f>
        <v>3.400000000000003E-2</v>
      </c>
      <c r="G499" s="11" t="str">
        <f>IF(E498&lt;0.5,"Low", "High")</f>
        <v>Low</v>
      </c>
      <c r="H499" s="9">
        <f>SCE_Ds[[#This Row],[Margins ($)]]/SCE_Ds[[#This Row],[With Margins ($)]]</f>
        <v>2.9464285714285714E-2</v>
      </c>
    </row>
    <row r="500" spans="1:8" x14ac:dyDescent="0.3">
      <c r="A500">
        <v>333613</v>
      </c>
      <c r="B500" t="s">
        <v>405</v>
      </c>
      <c r="C500" s="33">
        <v>0.187</v>
      </c>
      <c r="D500" s="33">
        <v>2.1999999999999999E-2</v>
      </c>
      <c r="E500" s="33">
        <v>0.20899999999999999</v>
      </c>
      <c r="F500" s="33">
        <f>SCE_Ds[[#This Row],[With Margins ($)]]-SCE_Ds[[#This Row],[ without Margins ( $)]]</f>
        <v>2.1999999999999992E-2</v>
      </c>
      <c r="G500" s="11" t="str">
        <f>IF(E499&lt;0.5,"Low", "High")</f>
        <v>High</v>
      </c>
      <c r="H500" s="9">
        <f>SCE_Ds[[#This Row],[Margins ($)]]/SCE_Ds[[#This Row],[With Margins ($)]]</f>
        <v>0.10526315789473684</v>
      </c>
    </row>
    <row r="501" spans="1:8" x14ac:dyDescent="0.3">
      <c r="A501">
        <v>541830</v>
      </c>
      <c r="B501" t="s">
        <v>869</v>
      </c>
      <c r="C501" s="33">
        <v>8.5000000000000006E-2</v>
      </c>
      <c r="D501" s="33">
        <v>0</v>
      </c>
      <c r="E501" s="33">
        <v>8.5000000000000006E-2</v>
      </c>
      <c r="F501" s="33">
        <f>SCE_Ds[[#This Row],[With Margins ($)]]-SCE_Ds[[#This Row],[ without Margins ( $)]]</f>
        <v>0</v>
      </c>
      <c r="G501" s="11" t="str">
        <f>IF(E500&lt;0.5,"Low", "High")</f>
        <v>Low</v>
      </c>
      <c r="H501" s="9">
        <f>SCE_Ds[[#This Row],[Margins ($)]]/SCE_Ds[[#This Row],[With Margins ($)]]</f>
        <v>0</v>
      </c>
    </row>
    <row r="502" spans="1:8" x14ac:dyDescent="0.3">
      <c r="A502">
        <v>541840</v>
      </c>
      <c r="B502" t="s">
        <v>870</v>
      </c>
      <c r="C502" s="33">
        <v>8.5000000000000006E-2</v>
      </c>
      <c r="D502" s="33">
        <v>0</v>
      </c>
      <c r="E502" s="33">
        <v>8.5000000000000006E-2</v>
      </c>
      <c r="F502" s="33">
        <f>SCE_Ds[[#This Row],[With Margins ($)]]-SCE_Ds[[#This Row],[ without Margins ( $)]]</f>
        <v>0</v>
      </c>
      <c r="G502" s="11" t="str">
        <f>IF(E501&lt;0.5,"Low", "High")</f>
        <v>Low</v>
      </c>
      <c r="H502" s="9">
        <f>SCE_Ds[[#This Row],[Margins ($)]]/SCE_Ds[[#This Row],[With Margins ($)]]</f>
        <v>0</v>
      </c>
    </row>
    <row r="503" spans="1:8" x14ac:dyDescent="0.3">
      <c r="A503">
        <v>621511</v>
      </c>
      <c r="B503" t="s">
        <v>963</v>
      </c>
      <c r="C503" s="33">
        <v>9.1999999999999998E-2</v>
      </c>
      <c r="D503" s="33">
        <v>0</v>
      </c>
      <c r="E503" s="33">
        <v>9.1999999999999998E-2</v>
      </c>
      <c r="F503" s="33">
        <f>SCE_Ds[[#This Row],[With Margins ($)]]-SCE_Ds[[#This Row],[ without Margins ( $)]]</f>
        <v>0</v>
      </c>
      <c r="G503" s="11" t="str">
        <f>IF(E502&lt;0.5,"Low", "High")</f>
        <v>Low</v>
      </c>
      <c r="H503" s="9">
        <f>SCE_Ds[[#This Row],[Margins ($)]]/SCE_Ds[[#This Row],[With Margins ($)]]</f>
        <v>0</v>
      </c>
    </row>
    <row r="504" spans="1:8" x14ac:dyDescent="0.3">
      <c r="A504">
        <v>423450</v>
      </c>
      <c r="B504" t="s">
        <v>541</v>
      </c>
      <c r="C504" s="33">
        <v>7.3999999999999996E-2</v>
      </c>
      <c r="D504" s="33">
        <v>0</v>
      </c>
      <c r="E504" s="33">
        <v>7.3999999999999996E-2</v>
      </c>
      <c r="F504" s="33">
        <f>SCE_Ds[[#This Row],[With Margins ($)]]-SCE_Ds[[#This Row],[ without Margins ( $)]]</f>
        <v>0</v>
      </c>
      <c r="G504" s="11" t="str">
        <f>IF(E503&lt;0.5,"Low", "High")</f>
        <v>Low</v>
      </c>
      <c r="H504" s="9">
        <f>SCE_Ds[[#This Row],[Margins ($)]]/SCE_Ds[[#This Row],[With Margins ($)]]</f>
        <v>0</v>
      </c>
    </row>
    <row r="505" spans="1:8" x14ac:dyDescent="0.3">
      <c r="A505">
        <v>325411</v>
      </c>
      <c r="B505" t="s">
        <v>273</v>
      </c>
      <c r="C505" s="33">
        <v>0.151</v>
      </c>
      <c r="D505" s="33">
        <v>3.6999999999999998E-2</v>
      </c>
      <c r="E505" s="33">
        <v>0.189</v>
      </c>
      <c r="F505" s="33">
        <f>SCE_Ds[[#This Row],[With Margins ($)]]-SCE_Ds[[#This Row],[ without Margins ( $)]]</f>
        <v>3.8000000000000006E-2</v>
      </c>
      <c r="G505" s="11" t="str">
        <f>IF(E504&lt;0.5,"Low", "High")</f>
        <v>Low</v>
      </c>
      <c r="H505" s="9">
        <f>SCE_Ds[[#This Row],[Margins ($)]]/SCE_Ds[[#This Row],[With Margins ($)]]</f>
        <v>0.19576719576719576</v>
      </c>
    </row>
    <row r="506" spans="1:8" x14ac:dyDescent="0.3">
      <c r="A506">
        <v>424320</v>
      </c>
      <c r="B506" t="s">
        <v>570</v>
      </c>
      <c r="C506" s="33">
        <v>0.14399999999999999</v>
      </c>
      <c r="D506" s="33">
        <v>0</v>
      </c>
      <c r="E506" s="33">
        <v>0.14399999999999999</v>
      </c>
      <c r="F506" s="33">
        <f>SCE_Ds[[#This Row],[With Margins ($)]]-SCE_Ds[[#This Row],[ without Margins ( $)]]</f>
        <v>0</v>
      </c>
      <c r="G506" s="11" t="str">
        <f>IF(E505&lt;0.5,"Low", "High")</f>
        <v>Low</v>
      </c>
      <c r="H506" s="9">
        <f>SCE_Ds[[#This Row],[Margins ($)]]/SCE_Ds[[#This Row],[With Margins ($)]]</f>
        <v>0</v>
      </c>
    </row>
    <row r="507" spans="1:8" x14ac:dyDescent="0.3">
      <c r="A507">
        <v>315220</v>
      </c>
      <c r="B507" t="s">
        <v>215</v>
      </c>
      <c r="C507" s="33">
        <v>0.06</v>
      </c>
      <c r="D507" s="33">
        <v>0.06</v>
      </c>
      <c r="E507" s="33">
        <v>0.12</v>
      </c>
      <c r="F507" s="33">
        <f>SCE_Ds[[#This Row],[With Margins ($)]]-SCE_Ds[[#This Row],[ without Margins ( $)]]</f>
        <v>0.06</v>
      </c>
      <c r="G507" s="11" t="str">
        <f>IF(E506&lt;0.5,"Low", "High")</f>
        <v>Low</v>
      </c>
      <c r="H507" s="9">
        <f>SCE_Ds[[#This Row],[Margins ($)]]/SCE_Ds[[#This Row],[With Margins ($)]]</f>
        <v>0.5</v>
      </c>
    </row>
    <row r="508" spans="1:8" x14ac:dyDescent="0.3">
      <c r="A508">
        <v>448110</v>
      </c>
      <c r="B508" t="s">
        <v>635</v>
      </c>
      <c r="C508" s="33">
        <v>0.13800000000000001</v>
      </c>
      <c r="D508" s="33">
        <v>0</v>
      </c>
      <c r="E508" s="33">
        <v>0.13800000000000001</v>
      </c>
      <c r="F508" s="33">
        <f>SCE_Ds[[#This Row],[With Margins ($)]]-SCE_Ds[[#This Row],[ without Margins ( $)]]</f>
        <v>0</v>
      </c>
      <c r="G508" s="11" t="str">
        <f>IF(E507&lt;0.5,"Low", "High")</f>
        <v>Low</v>
      </c>
      <c r="H508" s="9">
        <f>SCE_Ds[[#This Row],[Margins ($)]]/SCE_Ds[[#This Row],[With Margins ($)]]</f>
        <v>0</v>
      </c>
    </row>
    <row r="509" spans="1:8" x14ac:dyDescent="0.3">
      <c r="A509">
        <v>332431</v>
      </c>
      <c r="B509" t="s">
        <v>357</v>
      </c>
      <c r="C509" s="33">
        <v>0.30199999999999999</v>
      </c>
      <c r="D509" s="33">
        <v>1.6E-2</v>
      </c>
      <c r="E509" s="33">
        <v>0.318</v>
      </c>
      <c r="F509" s="33">
        <f>SCE_Ds[[#This Row],[With Margins ($)]]-SCE_Ds[[#This Row],[ without Margins ( $)]]</f>
        <v>1.6000000000000014E-2</v>
      </c>
      <c r="G509" s="11" t="str">
        <f>IF(E508&lt;0.5,"Low", "High")</f>
        <v>Low</v>
      </c>
      <c r="H509" s="9">
        <f>SCE_Ds[[#This Row],[Margins ($)]]/SCE_Ds[[#This Row],[With Margins ($)]]</f>
        <v>5.0314465408805034E-2</v>
      </c>
    </row>
    <row r="510" spans="1:8" x14ac:dyDescent="0.3">
      <c r="A510">
        <v>332812</v>
      </c>
      <c r="B510" t="s">
        <v>366</v>
      </c>
      <c r="C510" s="33">
        <v>0.36799999999999999</v>
      </c>
      <c r="D510" s="33">
        <v>1.4999999999999999E-2</v>
      </c>
      <c r="E510" s="33">
        <v>0.38200000000000001</v>
      </c>
      <c r="F510" s="33">
        <f>SCE_Ds[[#This Row],[With Margins ($)]]-SCE_Ds[[#This Row],[ without Margins ( $)]]</f>
        <v>1.4000000000000012E-2</v>
      </c>
      <c r="G510" s="11" t="str">
        <f>IF(E509&lt;0.5,"Low", "High")</f>
        <v>Low</v>
      </c>
      <c r="H510" s="9">
        <f>SCE_Ds[[#This Row],[Margins ($)]]/SCE_Ds[[#This Row],[With Margins ($)]]</f>
        <v>3.9267015706806283E-2</v>
      </c>
    </row>
    <row r="511" spans="1:8" x14ac:dyDescent="0.3">
      <c r="A511">
        <v>332119</v>
      </c>
      <c r="B511" t="s">
        <v>346</v>
      </c>
      <c r="C511" s="33">
        <v>0.29299999999999998</v>
      </c>
      <c r="D511" s="33">
        <v>2.5999999999999999E-2</v>
      </c>
      <c r="E511" s="33">
        <v>0.31900000000000001</v>
      </c>
      <c r="F511" s="33">
        <f>SCE_Ds[[#This Row],[With Margins ($)]]-SCE_Ds[[#This Row],[ without Margins ( $)]]</f>
        <v>2.6000000000000023E-2</v>
      </c>
      <c r="G511" s="11" t="str">
        <f>IF(E510&lt;0.5,"Low", "High")</f>
        <v>Low</v>
      </c>
      <c r="H511" s="9">
        <f>SCE_Ds[[#This Row],[Margins ($)]]/SCE_Ds[[#This Row],[With Margins ($)]]</f>
        <v>8.1504702194357362E-2</v>
      </c>
    </row>
    <row r="512" spans="1:8" x14ac:dyDescent="0.3">
      <c r="A512">
        <v>332811</v>
      </c>
      <c r="B512" t="s">
        <v>365</v>
      </c>
      <c r="C512" s="33">
        <v>0.36799999999999999</v>
      </c>
      <c r="D512" s="33">
        <v>1.4999999999999999E-2</v>
      </c>
      <c r="E512" s="33">
        <v>0.38200000000000001</v>
      </c>
      <c r="F512" s="33">
        <f>SCE_Ds[[#This Row],[With Margins ($)]]-SCE_Ds[[#This Row],[ without Margins ( $)]]</f>
        <v>1.4000000000000012E-2</v>
      </c>
      <c r="G512" s="11" t="str">
        <f>IF(E511&lt;0.5,"Low", "High")</f>
        <v>Low</v>
      </c>
      <c r="H512" s="9">
        <f>SCE_Ds[[#This Row],[Margins ($)]]/SCE_Ds[[#This Row],[With Margins ($)]]</f>
        <v>3.9267015706806283E-2</v>
      </c>
    </row>
    <row r="513" spans="1:8" x14ac:dyDescent="0.3">
      <c r="A513">
        <v>337124</v>
      </c>
      <c r="B513" t="s">
        <v>499</v>
      </c>
      <c r="C513" s="33">
        <v>0.16800000000000001</v>
      </c>
      <c r="D513" s="33">
        <v>5.8999999999999997E-2</v>
      </c>
      <c r="E513" s="33">
        <v>0.22700000000000001</v>
      </c>
      <c r="F513" s="33">
        <f>SCE_Ds[[#This Row],[With Margins ($)]]-SCE_Ds[[#This Row],[ without Margins ( $)]]</f>
        <v>5.8999999999999997E-2</v>
      </c>
      <c r="G513" s="11" t="str">
        <f>IF(E512&lt;0.5,"Low", "High")</f>
        <v>Low</v>
      </c>
      <c r="H513" s="9">
        <f>SCE_Ds[[#This Row],[Margins ($)]]/SCE_Ds[[#This Row],[With Margins ($)]]</f>
        <v>0.25991189427312772</v>
      </c>
    </row>
    <row r="514" spans="1:8" x14ac:dyDescent="0.3">
      <c r="A514">
        <v>332215</v>
      </c>
      <c r="B514" t="s">
        <v>347</v>
      </c>
      <c r="C514" s="33">
        <v>0.17399999999999999</v>
      </c>
      <c r="D514" s="33">
        <v>4.9000000000000002E-2</v>
      </c>
      <c r="E514" s="33">
        <v>0.223</v>
      </c>
      <c r="F514" s="33">
        <f>SCE_Ds[[#This Row],[With Margins ($)]]-SCE_Ds[[#This Row],[ without Margins ( $)]]</f>
        <v>4.9000000000000016E-2</v>
      </c>
      <c r="G514" s="11" t="str">
        <f>IF(E513&lt;0.5,"Low", "High")</f>
        <v>Low</v>
      </c>
      <c r="H514" s="9">
        <f>SCE_Ds[[#This Row],[Margins ($)]]/SCE_Ds[[#This Row],[With Margins ($)]]</f>
        <v>0.21973094170403587</v>
      </c>
    </row>
    <row r="515" spans="1:8" x14ac:dyDescent="0.3">
      <c r="A515">
        <v>423510</v>
      </c>
      <c r="B515" t="s">
        <v>544</v>
      </c>
      <c r="C515" s="33">
        <v>0.108</v>
      </c>
      <c r="D515" s="33">
        <v>0</v>
      </c>
      <c r="E515" s="33">
        <v>0.108</v>
      </c>
      <c r="F515" s="33">
        <f>SCE_Ds[[#This Row],[With Margins ($)]]-SCE_Ds[[#This Row],[ without Margins ( $)]]</f>
        <v>0</v>
      </c>
      <c r="G515" s="11" t="str">
        <f>IF(E514&lt;0.5,"Low", "High")</f>
        <v>Low</v>
      </c>
      <c r="H515" s="9">
        <f>SCE_Ds[[#This Row],[Margins ($)]]/SCE_Ds[[#This Row],[With Margins ($)]]</f>
        <v>0</v>
      </c>
    </row>
    <row r="516" spans="1:8" x14ac:dyDescent="0.3">
      <c r="A516">
        <v>332420</v>
      </c>
      <c r="B516" t="s">
        <v>356</v>
      </c>
      <c r="C516" s="33">
        <v>0.26700000000000002</v>
      </c>
      <c r="D516" s="33">
        <v>1.2E-2</v>
      </c>
      <c r="E516" s="33">
        <v>0.27900000000000003</v>
      </c>
      <c r="F516" s="33">
        <f>SCE_Ds[[#This Row],[With Margins ($)]]-SCE_Ds[[#This Row],[ without Margins ( $)]]</f>
        <v>1.2000000000000011E-2</v>
      </c>
      <c r="G516" s="11" t="str">
        <f>IF(E515&lt;0.5,"Low", "High")</f>
        <v>Low</v>
      </c>
      <c r="H516" s="9">
        <f>SCE_Ds[[#This Row],[Margins ($)]]/SCE_Ds[[#This Row],[With Margins ($)]]</f>
        <v>4.301075268817204E-2</v>
      </c>
    </row>
    <row r="517" spans="1:8" x14ac:dyDescent="0.3">
      <c r="A517">
        <v>332321</v>
      </c>
      <c r="B517" t="s">
        <v>352</v>
      </c>
      <c r="C517" s="33">
        <v>0.19500000000000001</v>
      </c>
      <c r="D517" s="33">
        <v>2.5999999999999999E-2</v>
      </c>
      <c r="E517" s="33">
        <v>0.221</v>
      </c>
      <c r="F517" s="33">
        <f>SCE_Ds[[#This Row],[With Margins ($)]]-SCE_Ds[[#This Row],[ without Margins ( $)]]</f>
        <v>2.5999999999999995E-2</v>
      </c>
      <c r="G517" s="11" t="str">
        <f>IF(E516&lt;0.5,"Low", "High")</f>
        <v>Low</v>
      </c>
      <c r="H517" s="9">
        <f>SCE_Ds[[#This Row],[Margins ($)]]/SCE_Ds[[#This Row],[With Margins ($)]]</f>
        <v>0.11764705882352941</v>
      </c>
    </row>
    <row r="518" spans="1:8" x14ac:dyDescent="0.3">
      <c r="A518">
        <v>336992</v>
      </c>
      <c r="B518" t="s">
        <v>494</v>
      </c>
      <c r="C518" s="33">
        <v>0.43099999999999999</v>
      </c>
      <c r="D518" s="33">
        <v>1.2E-2</v>
      </c>
      <c r="E518" s="33">
        <v>0.443</v>
      </c>
      <c r="F518" s="33">
        <f>SCE_Ds[[#This Row],[With Margins ($)]]-SCE_Ds[[#This Row],[ without Margins ( $)]]</f>
        <v>1.2000000000000011E-2</v>
      </c>
      <c r="G518" s="11" t="str">
        <f>IF(E517&lt;0.5,"Low", "High")</f>
        <v>Low</v>
      </c>
      <c r="H518" s="9">
        <f>SCE_Ds[[#This Row],[Margins ($)]]/SCE_Ds[[#This Row],[With Margins ($)]]</f>
        <v>2.7088036117381489E-2</v>
      </c>
    </row>
    <row r="519" spans="1:8" x14ac:dyDescent="0.3">
      <c r="A519">
        <v>327993</v>
      </c>
      <c r="B519" t="s">
        <v>321</v>
      </c>
      <c r="C519" s="33">
        <v>0.33900000000000002</v>
      </c>
      <c r="D519" s="33">
        <v>5.2999999999999999E-2</v>
      </c>
      <c r="E519" s="33">
        <v>0.39300000000000002</v>
      </c>
      <c r="F519" s="33">
        <f>SCE_Ds[[#This Row],[With Margins ($)]]-SCE_Ds[[#This Row],[ without Margins ( $)]]</f>
        <v>5.3999999999999992E-2</v>
      </c>
      <c r="G519" s="11" t="str">
        <f>IF(E518&lt;0.5,"Low", "High")</f>
        <v>Low</v>
      </c>
      <c r="H519" s="9">
        <f>SCE_Ds[[#This Row],[Margins ($)]]/SCE_Ds[[#This Row],[With Margins ($)]]</f>
        <v>0.13486005089058523</v>
      </c>
    </row>
    <row r="520" spans="1:8" x14ac:dyDescent="0.3">
      <c r="A520">
        <v>333131</v>
      </c>
      <c r="B520" t="s">
        <v>383</v>
      </c>
      <c r="C520" s="33">
        <v>0.17499999999999999</v>
      </c>
      <c r="D520" s="33">
        <v>4.3999999999999997E-2</v>
      </c>
      <c r="E520" s="33">
        <v>0.219</v>
      </c>
      <c r="F520" s="33">
        <f>SCE_Ds[[#This Row],[With Margins ($)]]-SCE_Ds[[#This Row],[ without Margins ( $)]]</f>
        <v>4.4000000000000011E-2</v>
      </c>
      <c r="G520" s="11" t="str">
        <f>IF(E519&lt;0.5,"Low", "High")</f>
        <v>Low</v>
      </c>
      <c r="H520" s="9">
        <f>SCE_Ds[[#This Row],[Margins ($)]]/SCE_Ds[[#This Row],[With Margins ($)]]</f>
        <v>0.20091324200913241</v>
      </c>
    </row>
    <row r="521" spans="1:8" x14ac:dyDescent="0.3">
      <c r="A521">
        <v>523999</v>
      </c>
      <c r="B521" t="s">
        <v>785</v>
      </c>
      <c r="C521" s="33">
        <v>6.6000000000000003E-2</v>
      </c>
      <c r="D521" s="33">
        <v>0</v>
      </c>
      <c r="E521" s="33">
        <v>6.6000000000000003E-2</v>
      </c>
      <c r="F521" s="33">
        <f>SCE_Ds[[#This Row],[With Margins ($)]]-SCE_Ds[[#This Row],[ without Margins ( $)]]</f>
        <v>0</v>
      </c>
      <c r="G521" s="11" t="str">
        <f>IF(E520&lt;0.5,"Low", "High")</f>
        <v>Low</v>
      </c>
      <c r="H521" s="9">
        <f>SCE_Ds[[#This Row],[Margins ($)]]/SCE_Ds[[#This Row],[With Margins ($)]]</f>
        <v>0</v>
      </c>
    </row>
    <row r="522" spans="1:8" x14ac:dyDescent="0.3">
      <c r="A522">
        <v>523910</v>
      </c>
      <c r="B522" t="s">
        <v>781</v>
      </c>
      <c r="C522" s="33">
        <v>6.6000000000000003E-2</v>
      </c>
      <c r="D522" s="33">
        <v>0</v>
      </c>
      <c r="E522" s="33">
        <v>6.6000000000000003E-2</v>
      </c>
      <c r="F522" s="33">
        <f>SCE_Ds[[#This Row],[With Margins ($)]]-SCE_Ds[[#This Row],[ without Margins ( $)]]</f>
        <v>0</v>
      </c>
      <c r="G522" s="11" t="str">
        <f>IF(E521&lt;0.5,"Low", "High")</f>
        <v>Low</v>
      </c>
      <c r="H522" s="9">
        <f>SCE_Ds[[#This Row],[Margins ($)]]/SCE_Ds[[#This Row],[With Margins ($)]]</f>
        <v>0</v>
      </c>
    </row>
    <row r="523" spans="1:8" x14ac:dyDescent="0.3">
      <c r="A523">
        <v>485111</v>
      </c>
      <c r="B523" t="s">
        <v>685</v>
      </c>
      <c r="C523" s="33">
        <v>0.56599999999999995</v>
      </c>
      <c r="D523" s="34">
        <v>0</v>
      </c>
      <c r="E523" s="33">
        <v>0.56599999999999995</v>
      </c>
      <c r="F523" s="33">
        <f>SCE_Ds[[#This Row],[With Margins ($)]]-SCE_Ds[[#This Row],[ without Margins ( $)]]</f>
        <v>0</v>
      </c>
      <c r="G523" s="11" t="str">
        <f>IF(E522&lt;0.5,"Low", "High")</f>
        <v>Low</v>
      </c>
      <c r="H523" s="9">
        <f>SCE_Ds[[#This Row],[Margins ($)]]/SCE_Ds[[#This Row],[With Margins ($)]]</f>
        <v>0</v>
      </c>
    </row>
    <row r="524" spans="1:8" x14ac:dyDescent="0.3">
      <c r="A524">
        <v>722330</v>
      </c>
      <c r="B524" t="s">
        <v>1026</v>
      </c>
      <c r="C524" s="33">
        <v>0.13200000000000001</v>
      </c>
      <c r="D524" s="33">
        <v>0</v>
      </c>
      <c r="E524" s="33">
        <v>0.13200000000000001</v>
      </c>
      <c r="F524" s="33">
        <f>SCE_Ds[[#This Row],[With Margins ($)]]-SCE_Ds[[#This Row],[ without Margins ( $)]]</f>
        <v>0</v>
      </c>
      <c r="G524" s="11" t="str">
        <f>IF(E523&lt;0.5,"Low", "High")</f>
        <v>High</v>
      </c>
      <c r="H524" s="9">
        <f>SCE_Ds[[#This Row],[Margins ($)]]/SCE_Ds[[#This Row],[With Margins ($)]]</f>
        <v>0</v>
      </c>
    </row>
    <row r="525" spans="1:8" x14ac:dyDescent="0.3">
      <c r="A525">
        <v>521110</v>
      </c>
      <c r="B525" t="s">
        <v>758</v>
      </c>
      <c r="C525" s="33">
        <v>5.8999999999999997E-2</v>
      </c>
      <c r="D525" s="33">
        <v>0</v>
      </c>
      <c r="E525" s="33">
        <v>5.8999999999999997E-2</v>
      </c>
      <c r="F525" s="33">
        <f>SCE_Ds[[#This Row],[With Margins ($)]]-SCE_Ds[[#This Row],[ without Margins ( $)]]</f>
        <v>0</v>
      </c>
      <c r="G525" s="11" t="str">
        <f>IF(E524&lt;0.5,"Low", "High")</f>
        <v>Low</v>
      </c>
      <c r="H525" s="9">
        <f>SCE_Ds[[#This Row],[Margins ($)]]/SCE_Ds[[#This Row],[With Margins ($)]]</f>
        <v>0</v>
      </c>
    </row>
    <row r="526" spans="1:8" x14ac:dyDescent="0.3">
      <c r="A526">
        <v>522310</v>
      </c>
      <c r="B526" t="s">
        <v>772</v>
      </c>
      <c r="C526" s="33">
        <v>7.1999999999999995E-2</v>
      </c>
      <c r="D526" s="33">
        <v>0</v>
      </c>
      <c r="E526" s="33">
        <v>7.1999999999999995E-2</v>
      </c>
      <c r="F526" s="33">
        <f>SCE_Ds[[#This Row],[With Margins ($)]]-SCE_Ds[[#This Row],[ without Margins ( $)]]</f>
        <v>0</v>
      </c>
      <c r="G526" s="11" t="str">
        <f>IF(E525&lt;0.5,"Low", "High")</f>
        <v>Low</v>
      </c>
      <c r="H526" s="9">
        <f>SCE_Ds[[#This Row],[Margins ($)]]/SCE_Ds[[#This Row],[With Margins ($)]]</f>
        <v>0</v>
      </c>
    </row>
    <row r="527" spans="1:8" x14ac:dyDescent="0.3">
      <c r="A527">
        <v>512120</v>
      </c>
      <c r="B527" t="s">
        <v>733</v>
      </c>
      <c r="C527" s="33">
        <v>4.7E-2</v>
      </c>
      <c r="D527" s="33">
        <v>5.0000000000000001E-3</v>
      </c>
      <c r="E527" s="33">
        <v>5.1999999999999998E-2</v>
      </c>
      <c r="F527" s="33">
        <f>SCE_Ds[[#This Row],[With Margins ($)]]-SCE_Ds[[#This Row],[ without Margins ( $)]]</f>
        <v>4.9999999999999975E-3</v>
      </c>
      <c r="G527" s="11" t="str">
        <f>IF(E526&lt;0.5,"Low", "High")</f>
        <v>Low</v>
      </c>
      <c r="H527" s="9">
        <f>SCE_Ds[[#This Row],[Margins ($)]]/SCE_Ds[[#This Row],[With Margins ($)]]</f>
        <v>9.6153846153846159E-2</v>
      </c>
    </row>
    <row r="528" spans="1:8" x14ac:dyDescent="0.3">
      <c r="A528">
        <v>512110</v>
      </c>
      <c r="B528" t="s">
        <v>732</v>
      </c>
      <c r="C528" s="33">
        <v>4.7E-2</v>
      </c>
      <c r="D528" s="33">
        <v>5.0000000000000001E-3</v>
      </c>
      <c r="E528" s="33">
        <v>5.1999999999999998E-2</v>
      </c>
      <c r="F528" s="33">
        <f>SCE_Ds[[#This Row],[With Margins ($)]]-SCE_Ds[[#This Row],[ without Margins ( $)]]</f>
        <v>4.9999999999999975E-3</v>
      </c>
      <c r="G528" s="11" t="str">
        <f>IF(E527&lt;0.5,"Low", "High")</f>
        <v>Low</v>
      </c>
      <c r="H528" s="9">
        <f>SCE_Ds[[#This Row],[Margins ($)]]/SCE_Ds[[#This Row],[With Margins ($)]]</f>
        <v>9.6153846153846159E-2</v>
      </c>
    </row>
    <row r="529" spans="1:8" x14ac:dyDescent="0.3">
      <c r="A529">
        <v>512131</v>
      </c>
      <c r="B529" t="s">
        <v>734</v>
      </c>
      <c r="C529" s="33">
        <v>4.7E-2</v>
      </c>
      <c r="D529" s="33">
        <v>5.0000000000000001E-3</v>
      </c>
      <c r="E529" s="33">
        <v>5.1999999999999998E-2</v>
      </c>
      <c r="F529" s="33">
        <f>SCE_Ds[[#This Row],[With Margins ($)]]-SCE_Ds[[#This Row],[ without Margins ( $)]]</f>
        <v>4.9999999999999975E-3</v>
      </c>
      <c r="G529" s="11" t="str">
        <f>IF(E528&lt;0.5,"Low", "High")</f>
        <v>Low</v>
      </c>
      <c r="H529" s="9">
        <f>SCE_Ds[[#This Row],[Margins ($)]]/SCE_Ds[[#This Row],[With Margins ($)]]</f>
        <v>9.6153846153846159E-2</v>
      </c>
    </row>
    <row r="530" spans="1:8" x14ac:dyDescent="0.3">
      <c r="A530">
        <v>335312</v>
      </c>
      <c r="B530" t="s">
        <v>456</v>
      </c>
      <c r="C530" s="33">
        <v>0.13300000000000001</v>
      </c>
      <c r="D530" s="33">
        <v>1.9E-2</v>
      </c>
      <c r="E530" s="33">
        <v>0.152</v>
      </c>
      <c r="F530" s="33">
        <f>SCE_Ds[[#This Row],[With Margins ($)]]-SCE_Ds[[#This Row],[ without Margins ( $)]]</f>
        <v>1.8999999999999989E-2</v>
      </c>
      <c r="G530" s="11" t="str">
        <f>IF(E529&lt;0.5,"Low", "High")</f>
        <v>Low</v>
      </c>
      <c r="H530" s="9">
        <f>SCE_Ds[[#This Row],[Margins ($)]]/SCE_Ds[[#This Row],[With Margins ($)]]</f>
        <v>0.125</v>
      </c>
    </row>
    <row r="531" spans="1:8" x14ac:dyDescent="0.3">
      <c r="A531">
        <v>336213</v>
      </c>
      <c r="B531" t="s">
        <v>472</v>
      </c>
      <c r="C531" s="33">
        <v>5.5E-2</v>
      </c>
      <c r="D531" s="33">
        <v>5.1999999999999998E-2</v>
      </c>
      <c r="E531" s="33">
        <v>0.107</v>
      </c>
      <c r="F531" s="33">
        <f>SCE_Ds[[#This Row],[With Margins ($)]]-SCE_Ds[[#This Row],[ without Margins ( $)]]</f>
        <v>5.1999999999999998E-2</v>
      </c>
      <c r="G531" s="11" t="str">
        <f>IF(E530&lt;0.5,"Low", "High")</f>
        <v>Low</v>
      </c>
      <c r="H531" s="9">
        <f>SCE_Ds[[#This Row],[Margins ($)]]/SCE_Ds[[#This Row],[With Margins ($)]]</f>
        <v>0.48598130841121495</v>
      </c>
    </row>
    <row r="532" spans="1:8" x14ac:dyDescent="0.3">
      <c r="A532">
        <v>336211</v>
      </c>
      <c r="B532" t="s">
        <v>470</v>
      </c>
      <c r="C532" s="33">
        <v>0.22500000000000001</v>
      </c>
      <c r="D532" s="33">
        <v>2.8000000000000001E-2</v>
      </c>
      <c r="E532" s="33">
        <v>0.253</v>
      </c>
      <c r="F532" s="33">
        <f>SCE_Ds[[#This Row],[With Margins ($)]]-SCE_Ds[[#This Row],[ without Margins ( $)]]</f>
        <v>2.7999999999999997E-2</v>
      </c>
      <c r="G532" s="11" t="str">
        <f>IF(E531&lt;0.5,"Low", "High")</f>
        <v>Low</v>
      </c>
      <c r="H532" s="9">
        <f>SCE_Ds[[#This Row],[Margins ($)]]/SCE_Ds[[#This Row],[With Margins ($)]]</f>
        <v>0.11067193675889328</v>
      </c>
    </row>
    <row r="533" spans="1:8" x14ac:dyDescent="0.3">
      <c r="A533">
        <v>336340</v>
      </c>
      <c r="B533" t="s">
        <v>478</v>
      </c>
      <c r="C533" s="33">
        <v>0.25</v>
      </c>
      <c r="D533" s="33">
        <v>2.8000000000000001E-2</v>
      </c>
      <c r="E533" s="33">
        <v>0.27800000000000002</v>
      </c>
      <c r="F533" s="33">
        <f>SCE_Ds[[#This Row],[With Margins ($)]]-SCE_Ds[[#This Row],[ without Margins ( $)]]</f>
        <v>2.8000000000000025E-2</v>
      </c>
      <c r="G533" s="11" t="str">
        <f>IF(E532&lt;0.5,"Low", "High")</f>
        <v>Low</v>
      </c>
      <c r="H533" s="9">
        <f>SCE_Ds[[#This Row],[Margins ($)]]/SCE_Ds[[#This Row],[With Margins ($)]]</f>
        <v>0.10071942446043165</v>
      </c>
    </row>
    <row r="534" spans="1:8" x14ac:dyDescent="0.3">
      <c r="A534">
        <v>336320</v>
      </c>
      <c r="B534" t="s">
        <v>475</v>
      </c>
      <c r="C534" s="33">
        <v>0.191</v>
      </c>
      <c r="D534" s="33">
        <v>2.7E-2</v>
      </c>
      <c r="E534" s="33">
        <v>0.218</v>
      </c>
      <c r="F534" s="33">
        <f>SCE_Ds[[#This Row],[With Margins ($)]]-SCE_Ds[[#This Row],[ without Margins ( $)]]</f>
        <v>2.6999999999999996E-2</v>
      </c>
      <c r="G534" s="11" t="str">
        <f>IF(E533&lt;0.5,"Low", "High")</f>
        <v>Low</v>
      </c>
      <c r="H534" s="9">
        <f>SCE_Ds[[#This Row],[Margins ($)]]/SCE_Ds[[#This Row],[With Margins ($)]]</f>
        <v>0.1238532110091743</v>
      </c>
    </row>
    <row r="535" spans="1:8" x14ac:dyDescent="0.3">
      <c r="A535">
        <v>336310</v>
      </c>
      <c r="B535" t="s">
        <v>474</v>
      </c>
      <c r="C535" s="33">
        <v>0.23</v>
      </c>
      <c r="D535" s="33">
        <v>2.9000000000000001E-2</v>
      </c>
      <c r="E535" s="33">
        <v>0.25900000000000001</v>
      </c>
      <c r="F535" s="33">
        <f>SCE_Ds[[#This Row],[With Margins ($)]]-SCE_Ds[[#This Row],[ without Margins ( $)]]</f>
        <v>2.8999999999999998E-2</v>
      </c>
      <c r="G535" s="11" t="str">
        <f>IF(E534&lt;0.5,"Low", "High")</f>
        <v>Low</v>
      </c>
      <c r="H535" s="9">
        <f>SCE_Ds[[#This Row],[Margins ($)]]/SCE_Ds[[#This Row],[With Margins ($)]]</f>
        <v>0.11196911196911197</v>
      </c>
    </row>
    <row r="536" spans="1:8" x14ac:dyDescent="0.3">
      <c r="A536">
        <v>336370</v>
      </c>
      <c r="B536" t="s">
        <v>481</v>
      </c>
      <c r="C536" s="33">
        <v>0.48199999999999998</v>
      </c>
      <c r="D536" s="33">
        <v>0.02</v>
      </c>
      <c r="E536" s="33">
        <v>0.503</v>
      </c>
      <c r="F536" s="33">
        <f>SCE_Ds[[#This Row],[With Margins ($)]]-SCE_Ds[[#This Row],[ without Margins ( $)]]</f>
        <v>2.1000000000000019E-2</v>
      </c>
      <c r="G536" s="11" t="str">
        <f>IF(E535&lt;0.5,"Low", "High")</f>
        <v>Low</v>
      </c>
      <c r="H536" s="9">
        <f>SCE_Ds[[#This Row],[Margins ($)]]/SCE_Ds[[#This Row],[With Margins ($)]]</f>
        <v>3.9761431411530816E-2</v>
      </c>
    </row>
    <row r="537" spans="1:8" x14ac:dyDescent="0.3">
      <c r="A537">
        <v>423140</v>
      </c>
      <c r="B537" t="s">
        <v>529</v>
      </c>
      <c r="C537" s="33">
        <v>0.115</v>
      </c>
      <c r="D537" s="33">
        <v>0</v>
      </c>
      <c r="E537" s="33">
        <v>0.115</v>
      </c>
      <c r="F537" s="33">
        <f>SCE_Ds[[#This Row],[With Margins ($)]]-SCE_Ds[[#This Row],[ without Margins ( $)]]</f>
        <v>0</v>
      </c>
      <c r="G537" s="11" t="str">
        <f>IF(E536&lt;0.5,"Low", "High")</f>
        <v>High</v>
      </c>
      <c r="H537" s="9">
        <f>SCE_Ds[[#This Row],[Margins ($)]]/SCE_Ds[[#This Row],[With Margins ($)]]</f>
        <v>0</v>
      </c>
    </row>
    <row r="538" spans="1:8" x14ac:dyDescent="0.3">
      <c r="A538">
        <v>336360</v>
      </c>
      <c r="B538" t="s">
        <v>480</v>
      </c>
      <c r="C538" s="33">
        <v>0.315</v>
      </c>
      <c r="D538" s="33">
        <v>1.7999999999999999E-2</v>
      </c>
      <c r="E538" s="33">
        <v>0.33300000000000002</v>
      </c>
      <c r="F538" s="33">
        <f>SCE_Ds[[#This Row],[With Margins ($)]]-SCE_Ds[[#This Row],[ without Margins ( $)]]</f>
        <v>1.8000000000000016E-2</v>
      </c>
      <c r="G538" s="11" t="str">
        <f>IF(E537&lt;0.5,"Low", "High")</f>
        <v>Low</v>
      </c>
      <c r="H538" s="9">
        <f>SCE_Ds[[#This Row],[Margins ($)]]/SCE_Ds[[#This Row],[With Margins ($)]]</f>
        <v>5.405405405405405E-2</v>
      </c>
    </row>
    <row r="539" spans="1:8" x14ac:dyDescent="0.3">
      <c r="A539">
        <v>336330</v>
      </c>
      <c r="B539" t="s">
        <v>476</v>
      </c>
      <c r="C539" s="33">
        <v>0.25</v>
      </c>
      <c r="D539" s="33">
        <v>2.8000000000000001E-2</v>
      </c>
      <c r="E539" s="33">
        <v>0.27800000000000002</v>
      </c>
      <c r="F539" s="33">
        <f>SCE_Ds[[#This Row],[With Margins ($)]]-SCE_Ds[[#This Row],[ without Margins ( $)]]</f>
        <v>2.8000000000000025E-2</v>
      </c>
      <c r="G539" s="11" t="str">
        <f>IF(E538&lt;0.5,"Low", "High")</f>
        <v>Low</v>
      </c>
      <c r="H539" s="9">
        <f>SCE_Ds[[#This Row],[Margins ($)]]/SCE_Ds[[#This Row],[With Margins ($)]]</f>
        <v>0.10071942446043165</v>
      </c>
    </row>
    <row r="540" spans="1:8" x14ac:dyDescent="0.3">
      <c r="A540">
        <v>423120</v>
      </c>
      <c r="B540" t="s">
        <v>527</v>
      </c>
      <c r="C540" s="33">
        <v>0.115</v>
      </c>
      <c r="D540" s="33">
        <v>0</v>
      </c>
      <c r="E540" s="33">
        <v>0.115</v>
      </c>
      <c r="F540" s="33">
        <f>SCE_Ds[[#This Row],[With Margins ($)]]-SCE_Ds[[#This Row],[ without Margins ( $)]]</f>
        <v>0</v>
      </c>
      <c r="G540" s="11" t="str">
        <f>IF(E539&lt;0.5,"Low", "High")</f>
        <v>Low</v>
      </c>
      <c r="H540" s="9">
        <f>SCE_Ds[[#This Row],[Margins ($)]]/SCE_Ds[[#This Row],[With Margins ($)]]</f>
        <v>0</v>
      </c>
    </row>
    <row r="541" spans="1:8" x14ac:dyDescent="0.3">
      <c r="A541">
        <v>488410</v>
      </c>
      <c r="B541" t="s">
        <v>712</v>
      </c>
      <c r="C541" s="33">
        <v>0.16200000000000001</v>
      </c>
      <c r="D541" s="33">
        <v>0</v>
      </c>
      <c r="E541" s="33">
        <v>0.16200000000000001</v>
      </c>
      <c r="F541" s="33">
        <f>SCE_Ds[[#This Row],[With Margins ($)]]-SCE_Ds[[#This Row],[ without Margins ( $)]]</f>
        <v>0</v>
      </c>
      <c r="G541" s="11" t="str">
        <f>IF(E540&lt;0.5,"Low", "High")</f>
        <v>Low</v>
      </c>
      <c r="H541" s="9">
        <f>SCE_Ds[[#This Row],[Margins ($)]]/SCE_Ds[[#This Row],[With Margins ($)]]</f>
        <v>0</v>
      </c>
    </row>
    <row r="542" spans="1:8" x14ac:dyDescent="0.3">
      <c r="A542">
        <v>336350</v>
      </c>
      <c r="B542" t="s">
        <v>479</v>
      </c>
      <c r="C542" s="33">
        <v>0.22600000000000001</v>
      </c>
      <c r="D542" s="33">
        <v>2.7E-2</v>
      </c>
      <c r="E542" s="33">
        <v>0.252</v>
      </c>
      <c r="F542" s="33">
        <f>SCE_Ds[[#This Row],[With Margins ($)]]-SCE_Ds[[#This Row],[ without Margins ( $)]]</f>
        <v>2.5999999999999995E-2</v>
      </c>
      <c r="G542" s="11" t="str">
        <f>IF(E541&lt;0.5,"Low", "High")</f>
        <v>Low</v>
      </c>
      <c r="H542" s="9">
        <f>SCE_Ds[[#This Row],[Margins ($)]]/SCE_Ds[[#This Row],[With Margins ($)]]</f>
        <v>0.10714285714285714</v>
      </c>
    </row>
    <row r="543" spans="1:8" x14ac:dyDescent="0.3">
      <c r="A543">
        <v>441228</v>
      </c>
      <c r="B543" t="s">
        <v>603</v>
      </c>
      <c r="C543" s="33">
        <v>7.2999999999999995E-2</v>
      </c>
      <c r="D543" s="33">
        <v>0</v>
      </c>
      <c r="E543" s="33">
        <v>7.2999999999999995E-2</v>
      </c>
      <c r="F543" s="33">
        <f>SCE_Ds[[#This Row],[With Margins ($)]]-SCE_Ds[[#This Row],[ without Margins ( $)]]</f>
        <v>0</v>
      </c>
      <c r="G543" s="11" t="str">
        <f>IF(E542&lt;0.5,"Low", "High")</f>
        <v>Low</v>
      </c>
      <c r="H543" s="9">
        <f>SCE_Ds[[#This Row],[Margins ($)]]/SCE_Ds[[#This Row],[With Margins ($)]]</f>
        <v>0</v>
      </c>
    </row>
    <row r="544" spans="1:8" x14ac:dyDescent="0.3">
      <c r="A544">
        <v>336991</v>
      </c>
      <c r="B544" t="s">
        <v>493</v>
      </c>
      <c r="C544" s="33">
        <v>0.17799999999999999</v>
      </c>
      <c r="D544" s="33">
        <v>4.3999999999999997E-2</v>
      </c>
      <c r="E544" s="33">
        <v>0.222</v>
      </c>
      <c r="F544" s="33">
        <f>SCE_Ds[[#This Row],[With Margins ($)]]-SCE_Ds[[#This Row],[ without Margins ( $)]]</f>
        <v>4.4000000000000011E-2</v>
      </c>
      <c r="G544" s="11" t="str">
        <f>IF(E543&lt;0.5,"Low", "High")</f>
        <v>Low</v>
      </c>
      <c r="H544" s="9">
        <f>SCE_Ds[[#This Row],[Margins ($)]]/SCE_Ds[[#This Row],[With Margins ($)]]</f>
        <v>0.19819819819819817</v>
      </c>
    </row>
    <row r="545" spans="1:8" x14ac:dyDescent="0.3">
      <c r="A545">
        <v>712110</v>
      </c>
      <c r="B545" t="s">
        <v>1002</v>
      </c>
      <c r="C545" s="33">
        <v>0.13600000000000001</v>
      </c>
      <c r="D545" s="33">
        <v>0</v>
      </c>
      <c r="E545" s="33">
        <v>0.13600000000000001</v>
      </c>
      <c r="F545" s="33">
        <f>SCE_Ds[[#This Row],[With Margins ($)]]-SCE_Ds[[#This Row],[ without Margins ( $)]]</f>
        <v>0</v>
      </c>
      <c r="G545" s="11" t="str">
        <f>IF(E544&lt;0.5,"Low", "High")</f>
        <v>Low</v>
      </c>
      <c r="H545" s="9">
        <f>SCE_Ds[[#This Row],[Margins ($)]]/SCE_Ds[[#This Row],[With Margins ($)]]</f>
        <v>0</v>
      </c>
    </row>
    <row r="546" spans="1:8" x14ac:dyDescent="0.3">
      <c r="A546">
        <v>111411</v>
      </c>
      <c r="B546" t="s">
        <v>27</v>
      </c>
      <c r="C546" s="33">
        <v>0.26600000000000001</v>
      </c>
      <c r="D546" s="33">
        <v>4.1000000000000002E-2</v>
      </c>
      <c r="E546" s="33">
        <v>0.307</v>
      </c>
      <c r="F546" s="33">
        <f>SCE_Ds[[#This Row],[With Margins ($)]]-SCE_Ds[[#This Row],[ without Margins ( $)]]</f>
        <v>4.0999999999999981E-2</v>
      </c>
      <c r="G546" s="11" t="str">
        <f>IF(E545&lt;0.5,"Low", "High")</f>
        <v>Low</v>
      </c>
      <c r="H546" s="9">
        <f>SCE_Ds[[#This Row],[Margins ($)]]/SCE_Ds[[#This Row],[With Margins ($)]]</f>
        <v>0.13355048859934854</v>
      </c>
    </row>
    <row r="547" spans="1:8" x14ac:dyDescent="0.3">
      <c r="A547">
        <v>512230</v>
      </c>
      <c r="B547" t="s">
        <v>738</v>
      </c>
      <c r="C547" s="33">
        <v>2.5999999999999999E-2</v>
      </c>
      <c r="D547" s="33">
        <v>1.7999999999999999E-2</v>
      </c>
      <c r="E547" s="33">
        <v>4.3999999999999997E-2</v>
      </c>
      <c r="F547" s="33">
        <f>SCE_Ds[[#This Row],[With Margins ($)]]-SCE_Ds[[#This Row],[ without Margins ( $)]]</f>
        <v>1.7999999999999999E-2</v>
      </c>
      <c r="G547" s="11" t="str">
        <f>IF(E546&lt;0.5,"Low", "High")</f>
        <v>Low</v>
      </c>
      <c r="H547" s="9">
        <f>SCE_Ds[[#This Row],[Margins ($)]]/SCE_Ds[[#This Row],[With Margins ($)]]</f>
        <v>0.40909090909090906</v>
      </c>
    </row>
    <row r="548" spans="1:8" x14ac:dyDescent="0.3">
      <c r="A548">
        <v>711130</v>
      </c>
      <c r="B548" t="s">
        <v>992</v>
      </c>
      <c r="C548" s="33">
        <v>8.5999999999999993E-2</v>
      </c>
      <c r="D548" s="33">
        <v>0</v>
      </c>
      <c r="E548" s="33">
        <v>8.5999999999999993E-2</v>
      </c>
      <c r="F548" s="33">
        <f>SCE_Ds[[#This Row],[With Margins ($)]]-SCE_Ds[[#This Row],[ without Margins ( $)]]</f>
        <v>0</v>
      </c>
      <c r="G548" s="11" t="str">
        <f>IF(E547&lt;0.5,"Low", "High")</f>
        <v>Low</v>
      </c>
      <c r="H548" s="9">
        <f>SCE_Ds[[#This Row],[Margins ($)]]/SCE_Ds[[#This Row],[With Margins ($)]]</f>
        <v>0</v>
      </c>
    </row>
    <row r="549" spans="1:8" x14ac:dyDescent="0.3">
      <c r="A549">
        <v>451140</v>
      </c>
      <c r="B549" t="s">
        <v>647</v>
      </c>
      <c r="C549" s="33">
        <v>0.111</v>
      </c>
      <c r="D549" s="33">
        <v>0</v>
      </c>
      <c r="E549" s="33">
        <v>0.111</v>
      </c>
      <c r="F549" s="33">
        <f>SCE_Ds[[#This Row],[With Margins ($)]]-SCE_Ds[[#This Row],[ without Margins ( $)]]</f>
        <v>0</v>
      </c>
      <c r="G549" s="11" t="str">
        <f>IF(E548&lt;0.5,"Low", "High")</f>
        <v>Low</v>
      </c>
      <c r="H549" s="9">
        <f>SCE_Ds[[#This Row],[Margins ($)]]/SCE_Ds[[#This Row],[With Margins ($)]]</f>
        <v>0</v>
      </c>
    </row>
    <row r="550" spans="1:8" x14ac:dyDescent="0.3">
      <c r="A550">
        <v>339992</v>
      </c>
      <c r="B550" t="s">
        <v>521</v>
      </c>
      <c r="C550" s="33">
        <v>0.121</v>
      </c>
      <c r="D550" s="33">
        <v>6.0999999999999999E-2</v>
      </c>
      <c r="E550" s="33">
        <v>0.182</v>
      </c>
      <c r="F550" s="33">
        <f>SCE_Ds[[#This Row],[With Margins ($)]]-SCE_Ds[[#This Row],[ without Margins ( $)]]</f>
        <v>6.0999999999999999E-2</v>
      </c>
      <c r="G550" s="11" t="str">
        <f>IF(E549&lt;0.5,"Low", "High")</f>
        <v>Low</v>
      </c>
      <c r="H550" s="9">
        <f>SCE_Ds[[#This Row],[Margins ($)]]/SCE_Ds[[#This Row],[With Margins ($)]]</f>
        <v>0.33516483516483514</v>
      </c>
    </row>
    <row r="551" spans="1:8" x14ac:dyDescent="0.3">
      <c r="A551">
        <v>812113</v>
      </c>
      <c r="B551" t="s">
        <v>1053</v>
      </c>
      <c r="C551" s="33">
        <v>0.125</v>
      </c>
      <c r="D551" s="33">
        <v>0</v>
      </c>
      <c r="E551" s="33">
        <v>0.125</v>
      </c>
      <c r="F551" s="33">
        <f>SCE_Ds[[#This Row],[With Margins ($)]]-SCE_Ds[[#This Row],[ without Margins ( $)]]</f>
        <v>0</v>
      </c>
      <c r="G551" s="11" t="str">
        <f>IF(E550&lt;0.5,"Low", "High")</f>
        <v>Low</v>
      </c>
      <c r="H551" s="9">
        <f>SCE_Ds[[#This Row],[Margins ($)]]/SCE_Ds[[#This Row],[With Margins ($)]]</f>
        <v>0</v>
      </c>
    </row>
    <row r="552" spans="1:8" x14ac:dyDescent="0.3">
      <c r="A552">
        <v>313220</v>
      </c>
      <c r="B552" t="s">
        <v>202</v>
      </c>
      <c r="C552" s="33">
        <v>0.48</v>
      </c>
      <c r="D552" s="34">
        <v>2.7E-2</v>
      </c>
      <c r="E552" s="33">
        <v>0.50700000000000001</v>
      </c>
      <c r="F552" s="33">
        <f>SCE_Ds[[#This Row],[With Margins ($)]]-SCE_Ds[[#This Row],[ without Margins ( $)]]</f>
        <v>2.7000000000000024E-2</v>
      </c>
      <c r="G552" s="11" t="str">
        <f>IF(E551&lt;0.5,"Low", "High")</f>
        <v>Low</v>
      </c>
      <c r="H552" s="9">
        <f>SCE_Ds[[#This Row],[Margins ($)]]/SCE_Ds[[#This Row],[With Margins ($)]]</f>
        <v>5.3254437869822487E-2</v>
      </c>
    </row>
    <row r="553" spans="1:8" x14ac:dyDescent="0.3">
      <c r="A553">
        <v>221210</v>
      </c>
      <c r="B553" t="s">
        <v>105</v>
      </c>
      <c r="C553" s="33">
        <v>0.53200000000000003</v>
      </c>
      <c r="D553" s="33">
        <v>0</v>
      </c>
      <c r="E553" s="33">
        <v>0.53200000000000003</v>
      </c>
      <c r="F553" s="33">
        <f>SCE_Ds[[#This Row],[With Margins ($)]]-SCE_Ds[[#This Row],[ without Margins ( $)]]</f>
        <v>0</v>
      </c>
      <c r="G553" s="11" t="str">
        <f>IF(E552&lt;0.5,"Low", "High")</f>
        <v>High</v>
      </c>
      <c r="H553" s="9">
        <f>SCE_Ds[[#This Row],[Margins ($)]]/SCE_Ds[[#This Row],[With Margins ($)]]</f>
        <v>0</v>
      </c>
    </row>
    <row r="554" spans="1:8" x14ac:dyDescent="0.3">
      <c r="A554">
        <v>211130</v>
      </c>
      <c r="B554" t="s">
        <v>75</v>
      </c>
      <c r="C554" s="33">
        <v>0.377</v>
      </c>
      <c r="D554" s="33">
        <v>2.8000000000000001E-2</v>
      </c>
      <c r="E554" s="33">
        <v>0.40500000000000003</v>
      </c>
      <c r="F554" s="33">
        <f>SCE_Ds[[#This Row],[With Margins ($)]]-SCE_Ds[[#This Row],[ without Margins ( $)]]</f>
        <v>2.8000000000000025E-2</v>
      </c>
      <c r="G554" s="11" t="str">
        <f>IF(E553&lt;0.5,"Low", "High")</f>
        <v>High</v>
      </c>
      <c r="H554" s="9">
        <f>SCE_Ds[[#This Row],[Margins ($)]]/SCE_Ds[[#This Row],[With Margins ($)]]</f>
        <v>6.9135802469135796E-2</v>
      </c>
    </row>
    <row r="555" spans="1:8" x14ac:dyDescent="0.3">
      <c r="A555">
        <v>712190</v>
      </c>
      <c r="B555" t="s">
        <v>1005</v>
      </c>
      <c r="C555" s="33">
        <v>0.13600000000000001</v>
      </c>
      <c r="D555" s="33">
        <v>0</v>
      </c>
      <c r="E555" s="33">
        <v>0.13600000000000001</v>
      </c>
      <c r="F555" s="33">
        <f>SCE_Ds[[#This Row],[With Margins ($)]]-SCE_Ds[[#This Row],[ without Margins ( $)]]</f>
        <v>0</v>
      </c>
      <c r="G555" s="11" t="str">
        <f>IF(E554&lt;0.5,"Low", "High")</f>
        <v>Low</v>
      </c>
      <c r="H555" s="9">
        <f>SCE_Ds[[#This Row],[Margins ($)]]/SCE_Ds[[#This Row],[With Margins ($)]]</f>
        <v>0</v>
      </c>
    </row>
    <row r="556" spans="1:8" x14ac:dyDescent="0.3">
      <c r="A556">
        <v>488330</v>
      </c>
      <c r="B556" t="s">
        <v>710</v>
      </c>
      <c r="C556" s="33">
        <v>0.16200000000000001</v>
      </c>
      <c r="D556" s="33">
        <v>0</v>
      </c>
      <c r="E556" s="33">
        <v>0.16200000000000001</v>
      </c>
      <c r="F556" s="33">
        <f>SCE_Ds[[#This Row],[With Margins ($)]]-SCE_Ds[[#This Row],[ without Margins ( $)]]</f>
        <v>0</v>
      </c>
      <c r="G556" s="11" t="str">
        <f>IF(E555&lt;0.5,"Low", "High")</f>
        <v>Low</v>
      </c>
      <c r="H556" s="9">
        <f>SCE_Ds[[#This Row],[Margins ($)]]/SCE_Ds[[#This Row],[With Margins ($)]]</f>
        <v>0</v>
      </c>
    </row>
    <row r="557" spans="1:8" x14ac:dyDescent="0.3">
      <c r="A557">
        <v>441110</v>
      </c>
      <c r="B557" t="s">
        <v>599</v>
      </c>
      <c r="C557" s="33">
        <v>7.2999999999999995E-2</v>
      </c>
      <c r="D557" s="33">
        <v>0</v>
      </c>
      <c r="E557" s="33">
        <v>7.2999999999999995E-2</v>
      </c>
      <c r="F557" s="33">
        <f>SCE_Ds[[#This Row],[With Margins ($)]]-SCE_Ds[[#This Row],[ without Margins ( $)]]</f>
        <v>0</v>
      </c>
      <c r="G557" s="11" t="str">
        <f>IF(E556&lt;0.5,"Low", "High")</f>
        <v>Low</v>
      </c>
      <c r="H557" s="9">
        <f>SCE_Ds[[#This Row],[Margins ($)]]/SCE_Ds[[#This Row],[With Margins ($)]]</f>
        <v>0</v>
      </c>
    </row>
    <row r="558" spans="1:8" x14ac:dyDescent="0.3">
      <c r="A558">
        <v>236117</v>
      </c>
      <c r="B558" t="s">
        <v>111</v>
      </c>
      <c r="C558" s="33">
        <v>0.216</v>
      </c>
      <c r="D558" s="33">
        <v>0</v>
      </c>
      <c r="E558" s="33">
        <v>0.216</v>
      </c>
      <c r="F558" s="33">
        <f>SCE_Ds[[#This Row],[With Margins ($)]]-SCE_Ds[[#This Row],[ without Margins ( $)]]</f>
        <v>0</v>
      </c>
      <c r="G558" s="11" t="str">
        <f>IF(E557&lt;0.5,"Low", "High")</f>
        <v>Low</v>
      </c>
      <c r="H558" s="9">
        <f>SCE_Ds[[#This Row],[Margins ($)]]/SCE_Ds[[#This Row],[With Margins ($)]]</f>
        <v>0</v>
      </c>
    </row>
    <row r="559" spans="1:8" x14ac:dyDescent="0.3">
      <c r="A559">
        <v>236116</v>
      </c>
      <c r="B559" t="s">
        <v>110</v>
      </c>
      <c r="C559" s="33">
        <v>0.221</v>
      </c>
      <c r="D559" s="33">
        <v>0</v>
      </c>
      <c r="E559" s="33">
        <v>0.221</v>
      </c>
      <c r="F559" s="33">
        <f>SCE_Ds[[#This Row],[With Margins ($)]]-SCE_Ds[[#This Row],[ without Margins ( $)]]</f>
        <v>0</v>
      </c>
      <c r="G559" s="11" t="str">
        <f>IF(E558&lt;0.5,"Low", "High")</f>
        <v>Low</v>
      </c>
      <c r="H559" s="9">
        <f>SCE_Ds[[#This Row],[Margins ($)]]/SCE_Ds[[#This Row],[With Margins ($)]]</f>
        <v>0</v>
      </c>
    </row>
    <row r="560" spans="1:8" x14ac:dyDescent="0.3">
      <c r="A560">
        <v>236115</v>
      </c>
      <c r="B560" t="s">
        <v>109</v>
      </c>
      <c r="C560" s="33">
        <v>0.19400000000000001</v>
      </c>
      <c r="D560" s="34">
        <v>0</v>
      </c>
      <c r="E560" s="33">
        <v>0.19400000000000001</v>
      </c>
      <c r="F560" s="33">
        <f>SCE_Ds[[#This Row],[With Margins ($)]]-SCE_Ds[[#This Row],[ without Margins ( $)]]</f>
        <v>0</v>
      </c>
      <c r="G560" s="11" t="str">
        <f>IF(E559&lt;0.5,"Low", "High")</f>
        <v>Low</v>
      </c>
      <c r="H560" s="9">
        <f>SCE_Ds[[#This Row],[Margins ($)]]/SCE_Ds[[#This Row],[With Margins ($)]]</f>
        <v>0</v>
      </c>
    </row>
    <row r="561" spans="1:8" x14ac:dyDescent="0.3">
      <c r="A561">
        <v>451212</v>
      </c>
      <c r="B561" t="s">
        <v>649</v>
      </c>
      <c r="C561" s="33">
        <v>0.111</v>
      </c>
      <c r="D561" s="33">
        <v>0</v>
      </c>
      <c r="E561" s="33">
        <v>0.111</v>
      </c>
      <c r="F561" s="33">
        <f>SCE_Ds[[#This Row],[With Margins ($)]]-SCE_Ds[[#This Row],[ without Margins ( $)]]</f>
        <v>0</v>
      </c>
      <c r="G561" s="11" t="str">
        <f>IF(E560&lt;0.5,"Low", "High")</f>
        <v>Low</v>
      </c>
      <c r="H561" s="9">
        <f>SCE_Ds[[#This Row],[Margins ($)]]/SCE_Ds[[#This Row],[With Margins ($)]]</f>
        <v>0</v>
      </c>
    </row>
    <row r="562" spans="1:8" x14ac:dyDescent="0.3">
      <c r="A562">
        <v>519110</v>
      </c>
      <c r="B562" t="s">
        <v>753</v>
      </c>
      <c r="C562" s="33">
        <v>6.4000000000000001E-2</v>
      </c>
      <c r="D562" s="33">
        <v>0</v>
      </c>
      <c r="E562" s="33">
        <v>6.4000000000000001E-2</v>
      </c>
      <c r="F562" s="33">
        <f>SCE_Ds[[#This Row],[With Margins ($)]]-SCE_Ds[[#This Row],[ without Margins ( $)]]</f>
        <v>0</v>
      </c>
      <c r="G562" s="11" t="str">
        <f>IF(E561&lt;0.5,"Low", "High")</f>
        <v>Low</v>
      </c>
      <c r="H562" s="9">
        <f>SCE_Ds[[#This Row],[Margins ($)]]/SCE_Ds[[#This Row],[With Margins ($)]]</f>
        <v>0</v>
      </c>
    </row>
    <row r="563" spans="1:8" x14ac:dyDescent="0.3">
      <c r="A563">
        <v>511110</v>
      </c>
      <c r="B563" t="s">
        <v>724</v>
      </c>
      <c r="C563" s="33">
        <v>4.2999999999999997E-2</v>
      </c>
      <c r="D563" s="33">
        <v>3.9E-2</v>
      </c>
      <c r="E563" s="33">
        <v>8.2000000000000003E-2</v>
      </c>
      <c r="F563" s="33">
        <f>SCE_Ds[[#This Row],[With Margins ($)]]-SCE_Ds[[#This Row],[ without Margins ( $)]]</f>
        <v>3.9000000000000007E-2</v>
      </c>
      <c r="G563" s="11" t="str">
        <f>IF(E562&lt;0.5,"Low", "High")</f>
        <v>Low</v>
      </c>
      <c r="H563" s="9">
        <f>SCE_Ds[[#This Row],[Margins ($)]]/SCE_Ds[[#This Row],[With Margins ($)]]</f>
        <v>0.47560975609756095</v>
      </c>
    </row>
    <row r="564" spans="1:8" x14ac:dyDescent="0.3">
      <c r="A564">
        <v>322122</v>
      </c>
      <c r="B564" t="s">
        <v>240</v>
      </c>
      <c r="C564" s="33">
        <v>0.60299999999999998</v>
      </c>
      <c r="D564" s="34">
        <v>4.7E-2</v>
      </c>
      <c r="E564" s="33">
        <v>0.64900000000000002</v>
      </c>
      <c r="F564" s="33">
        <f>SCE_Ds[[#This Row],[With Margins ($)]]-SCE_Ds[[#This Row],[ without Margins ( $)]]</f>
        <v>4.6000000000000041E-2</v>
      </c>
      <c r="G564" s="11" t="str">
        <f>IF(E563&lt;0.5,"Low", "High")</f>
        <v>Low</v>
      </c>
      <c r="H564" s="9">
        <f>SCE_Ds[[#This Row],[Margins ($)]]/SCE_Ds[[#This Row],[With Margins ($)]]</f>
        <v>7.24191063174114E-2</v>
      </c>
    </row>
    <row r="565" spans="1:8" x14ac:dyDescent="0.3">
      <c r="A565">
        <v>325311</v>
      </c>
      <c r="B565" t="s">
        <v>269</v>
      </c>
      <c r="C565" s="33">
        <v>1.1140000000000001</v>
      </c>
      <c r="D565" s="34">
        <v>2.3E-2</v>
      </c>
      <c r="E565" s="33">
        <v>1.137</v>
      </c>
      <c r="F565" s="33">
        <f>SCE_Ds[[#This Row],[With Margins ($)]]-SCE_Ds[[#This Row],[ without Margins ( $)]]</f>
        <v>2.2999999999999909E-2</v>
      </c>
      <c r="G565" s="11" t="str">
        <f>IF(E564&lt;0.5,"Low", "High")</f>
        <v>High</v>
      </c>
      <c r="H565" s="9">
        <f>SCE_Ds[[#This Row],[Margins ($)]]/SCE_Ds[[#This Row],[With Margins ($)]]</f>
        <v>2.0228671943711522E-2</v>
      </c>
    </row>
    <row r="566" spans="1:8" x14ac:dyDescent="0.3">
      <c r="A566">
        <v>311340</v>
      </c>
      <c r="B566" t="s">
        <v>158</v>
      </c>
      <c r="C566" s="33">
        <v>0.442</v>
      </c>
      <c r="D566" s="33">
        <v>0.04</v>
      </c>
      <c r="E566" s="33">
        <v>0.48199999999999998</v>
      </c>
      <c r="F566" s="33">
        <f>SCE_Ds[[#This Row],[With Margins ($)]]-SCE_Ds[[#This Row],[ without Margins ( $)]]</f>
        <v>3.999999999999998E-2</v>
      </c>
      <c r="G566" s="11" t="str">
        <f>IF(E565&lt;0.5,"Low", "High")</f>
        <v>High</v>
      </c>
      <c r="H566" s="9">
        <f>SCE_Ds[[#This Row],[Margins ($)]]/SCE_Ds[[#This Row],[With Margins ($)]]</f>
        <v>8.2987551867219927E-2</v>
      </c>
    </row>
    <row r="567" spans="1:8" x14ac:dyDescent="0.3">
      <c r="A567">
        <v>335932</v>
      </c>
      <c r="B567" t="s">
        <v>464</v>
      </c>
      <c r="C567" s="33">
        <v>0.10199999999999999</v>
      </c>
      <c r="D567" s="33">
        <v>2.5999999999999999E-2</v>
      </c>
      <c r="E567" s="33">
        <v>0.127</v>
      </c>
      <c r="F567" s="33">
        <f>SCE_Ds[[#This Row],[With Margins ($)]]-SCE_Ds[[#This Row],[ without Margins ( $)]]</f>
        <v>2.5000000000000008E-2</v>
      </c>
      <c r="G567" s="11" t="str">
        <f>IF(E566&lt;0.5,"Low", "High")</f>
        <v>Low</v>
      </c>
      <c r="H567" s="9">
        <f>SCE_Ds[[#This Row],[Margins ($)]]/SCE_Ds[[#This Row],[With Margins ($)]]</f>
        <v>0.20472440944881889</v>
      </c>
    </row>
    <row r="568" spans="1:8" x14ac:dyDescent="0.3">
      <c r="A568">
        <v>332112</v>
      </c>
      <c r="B568" t="s">
        <v>343</v>
      </c>
      <c r="C568" s="33">
        <v>0.47</v>
      </c>
      <c r="D568" s="33">
        <v>2.3E-2</v>
      </c>
      <c r="E568" s="33">
        <v>0.49299999999999999</v>
      </c>
      <c r="F568" s="33">
        <f>SCE_Ds[[#This Row],[With Margins ($)]]-SCE_Ds[[#This Row],[ without Margins ( $)]]</f>
        <v>2.300000000000002E-2</v>
      </c>
      <c r="G568" s="11" t="str">
        <f>IF(E567&lt;0.5,"Low", "High")</f>
        <v>Low</v>
      </c>
      <c r="H568" s="9">
        <f>SCE_Ds[[#This Row],[Margins ($)]]/SCE_Ds[[#This Row],[With Margins ($)]]</f>
        <v>4.665314401622718E-2</v>
      </c>
    </row>
    <row r="569" spans="1:8" x14ac:dyDescent="0.3">
      <c r="A569">
        <v>331410</v>
      </c>
      <c r="B569" t="s">
        <v>331</v>
      </c>
      <c r="C569" s="33">
        <v>0.40799999999999997</v>
      </c>
      <c r="D569" s="34">
        <v>1.6E-2</v>
      </c>
      <c r="E569" s="33">
        <v>0.42299999999999999</v>
      </c>
      <c r="F569" s="33">
        <f>SCE_Ds[[#This Row],[With Margins ($)]]-SCE_Ds[[#This Row],[ without Margins ( $)]]</f>
        <v>1.5000000000000013E-2</v>
      </c>
      <c r="G569" s="11" t="str">
        <f>IF(E568&lt;0.5,"Low", "High")</f>
        <v>Low</v>
      </c>
      <c r="H569" s="9">
        <f>SCE_Ds[[#This Row],[Margins ($)]]/SCE_Ds[[#This Row],[With Margins ($)]]</f>
        <v>3.7825059101654845E-2</v>
      </c>
    </row>
    <row r="570" spans="1:8" x14ac:dyDescent="0.3">
      <c r="A570">
        <v>331491</v>
      </c>
      <c r="B570" t="s">
        <v>333</v>
      </c>
      <c r="C570" s="33">
        <v>0.41399999999999998</v>
      </c>
      <c r="D570" s="33">
        <v>1.7999999999999999E-2</v>
      </c>
      <c r="E570" s="33">
        <v>0.43099999999999999</v>
      </c>
      <c r="F570" s="33">
        <f>SCE_Ds[[#This Row],[With Margins ($)]]-SCE_Ds[[#This Row],[ without Margins ( $)]]</f>
        <v>1.7000000000000015E-2</v>
      </c>
      <c r="G570" s="11" t="str">
        <f>IF(E569&lt;0.5,"Low", "High")</f>
        <v>Low</v>
      </c>
      <c r="H570" s="9">
        <f>SCE_Ds[[#This Row],[Margins ($)]]/SCE_Ds[[#This Row],[With Margins ($)]]</f>
        <v>4.1763341067285381E-2</v>
      </c>
    </row>
    <row r="571" spans="1:8" x14ac:dyDescent="0.3">
      <c r="A571">
        <v>331523</v>
      </c>
      <c r="B571" t="s">
        <v>338</v>
      </c>
      <c r="C571" s="33">
        <v>0.438</v>
      </c>
      <c r="D571" s="33">
        <v>2.5000000000000001E-2</v>
      </c>
      <c r="E571" s="33">
        <v>0.46200000000000002</v>
      </c>
      <c r="F571" s="33">
        <f>SCE_Ds[[#This Row],[With Margins ($)]]-SCE_Ds[[#This Row],[ without Margins ( $)]]</f>
        <v>2.4000000000000021E-2</v>
      </c>
      <c r="G571" s="11" t="str">
        <f>IF(E570&lt;0.5,"Low", "High")</f>
        <v>Low</v>
      </c>
      <c r="H571" s="9">
        <f>SCE_Ds[[#This Row],[Margins ($)]]/SCE_Ds[[#This Row],[With Margins ($)]]</f>
        <v>5.4112554112554112E-2</v>
      </c>
    </row>
    <row r="572" spans="1:8" x14ac:dyDescent="0.3">
      <c r="A572">
        <v>531312</v>
      </c>
      <c r="B572" t="s">
        <v>811</v>
      </c>
      <c r="C572" s="33">
        <v>0.246</v>
      </c>
      <c r="D572" s="33">
        <v>0</v>
      </c>
      <c r="E572" s="33">
        <v>0.246</v>
      </c>
      <c r="F572" s="33">
        <f>SCE_Ds[[#This Row],[With Margins ($)]]-SCE_Ds[[#This Row],[ without Margins ( $)]]</f>
        <v>0</v>
      </c>
      <c r="G572" s="11" t="str">
        <f>IF(E571&lt;0.5,"Low", "High")</f>
        <v>Low</v>
      </c>
      <c r="H572" s="9">
        <f>SCE_Ds[[#This Row],[Margins ($)]]/SCE_Ds[[#This Row],[With Margins ($)]]</f>
        <v>0</v>
      </c>
    </row>
    <row r="573" spans="1:8" x14ac:dyDescent="0.3">
      <c r="A573">
        <v>481212</v>
      </c>
      <c r="B573" t="s">
        <v>669</v>
      </c>
      <c r="C573" s="33">
        <v>0.64400000000000002</v>
      </c>
      <c r="D573" s="34">
        <v>0</v>
      </c>
      <c r="E573" s="33">
        <v>0.64400000000000002</v>
      </c>
      <c r="F573" s="33">
        <f>SCE_Ds[[#This Row],[With Margins ($)]]-SCE_Ds[[#This Row],[ without Margins ( $)]]</f>
        <v>0</v>
      </c>
      <c r="G573" s="11" t="str">
        <f>IF(E572&lt;0.5,"Low", "High")</f>
        <v>Low</v>
      </c>
      <c r="H573" s="9">
        <f>SCE_Ds[[#This Row],[Margins ($)]]/SCE_Ds[[#This Row],[With Margins ($)]]</f>
        <v>0</v>
      </c>
    </row>
    <row r="574" spans="1:8" x14ac:dyDescent="0.3">
      <c r="A574">
        <v>481211</v>
      </c>
      <c r="B574" t="s">
        <v>668</v>
      </c>
      <c r="C574" s="33">
        <v>0.64400000000000002</v>
      </c>
      <c r="D574" s="34">
        <v>0</v>
      </c>
      <c r="E574" s="33">
        <v>0.64400000000000002</v>
      </c>
      <c r="F574" s="33">
        <f>SCE_Ds[[#This Row],[With Margins ($)]]-SCE_Ds[[#This Row],[ without Margins ( $)]]</f>
        <v>0</v>
      </c>
      <c r="G574" s="11" t="str">
        <f>IF(E573&lt;0.5,"Low", "High")</f>
        <v>High</v>
      </c>
      <c r="H574" s="9">
        <f>SCE_Ds[[#This Row],[Margins ($)]]/SCE_Ds[[#This Row],[With Margins ($)]]</f>
        <v>0</v>
      </c>
    </row>
    <row r="575" spans="1:8" x14ac:dyDescent="0.3">
      <c r="A575">
        <v>337122</v>
      </c>
      <c r="B575" t="s">
        <v>498</v>
      </c>
      <c r="C575" s="33">
        <v>0.121</v>
      </c>
      <c r="D575" s="33">
        <v>5.7000000000000002E-2</v>
      </c>
      <c r="E575" s="33">
        <v>0.17799999999999999</v>
      </c>
      <c r="F575" s="33">
        <f>SCE_Ds[[#This Row],[With Margins ($)]]-SCE_Ds[[#This Row],[ without Margins ( $)]]</f>
        <v>5.6999999999999995E-2</v>
      </c>
      <c r="G575" s="11" t="str">
        <f>IF(E574&lt;0.5,"Low", "High")</f>
        <v>High</v>
      </c>
      <c r="H575" s="9">
        <f>SCE_Ds[[#This Row],[Margins ($)]]/SCE_Ds[[#This Row],[With Margins ($)]]</f>
        <v>0.3202247191011236</v>
      </c>
    </row>
    <row r="576" spans="1:8" x14ac:dyDescent="0.3">
      <c r="A576">
        <v>313230</v>
      </c>
      <c r="B576" t="s">
        <v>203</v>
      </c>
      <c r="C576" s="33">
        <v>0.48</v>
      </c>
      <c r="D576" s="34">
        <v>2.7E-2</v>
      </c>
      <c r="E576" s="33">
        <v>0.50700000000000001</v>
      </c>
      <c r="F576" s="33">
        <f>SCE_Ds[[#This Row],[With Margins ($)]]-SCE_Ds[[#This Row],[ without Margins ( $)]]</f>
        <v>2.7000000000000024E-2</v>
      </c>
      <c r="G576" s="11" t="str">
        <f>IF(E575&lt;0.5,"Low", "High")</f>
        <v>Low</v>
      </c>
      <c r="H576" s="9">
        <f>SCE_Ds[[#This Row],[Margins ($)]]/SCE_Ds[[#This Row],[With Margins ($)]]</f>
        <v>5.3254437869822487E-2</v>
      </c>
    </row>
    <row r="577" spans="1:8" x14ac:dyDescent="0.3">
      <c r="A577">
        <v>111421</v>
      </c>
      <c r="B577" t="s">
        <v>29</v>
      </c>
      <c r="C577" s="33">
        <v>0.26600000000000001</v>
      </c>
      <c r="D577" s="33">
        <v>4.1000000000000002E-2</v>
      </c>
      <c r="E577" s="33">
        <v>0.307</v>
      </c>
      <c r="F577" s="33">
        <f>SCE_Ds[[#This Row],[With Margins ($)]]-SCE_Ds[[#This Row],[ without Margins ( $)]]</f>
        <v>4.0999999999999981E-2</v>
      </c>
      <c r="G577" s="11" t="str">
        <f>IF(E576&lt;0.5,"Low", "High")</f>
        <v>High</v>
      </c>
      <c r="H577" s="9">
        <f>SCE_Ds[[#This Row],[Margins ($)]]/SCE_Ds[[#This Row],[With Margins ($)]]</f>
        <v>0.13355048859934854</v>
      </c>
    </row>
    <row r="578" spans="1:8" x14ac:dyDescent="0.3">
      <c r="A578">
        <v>444220</v>
      </c>
      <c r="B578" t="s">
        <v>618</v>
      </c>
      <c r="C578" s="33">
        <v>8.6999999999999994E-2</v>
      </c>
      <c r="D578" s="33">
        <v>0</v>
      </c>
      <c r="E578" s="33">
        <v>8.6999999999999994E-2</v>
      </c>
      <c r="F578" s="33">
        <f>SCE_Ds[[#This Row],[With Margins ($)]]-SCE_Ds[[#This Row],[ without Margins ( $)]]</f>
        <v>0</v>
      </c>
      <c r="G578" s="11" t="str">
        <f>IF(E577&lt;0.5,"Low", "High")</f>
        <v>Low</v>
      </c>
      <c r="H578" s="9">
        <f>SCE_Ds[[#This Row],[Margins ($)]]/SCE_Ds[[#This Row],[With Margins ($)]]</f>
        <v>0</v>
      </c>
    </row>
    <row r="579" spans="1:8" x14ac:dyDescent="0.3">
      <c r="A579">
        <v>623110</v>
      </c>
      <c r="B579" t="s">
        <v>972</v>
      </c>
      <c r="C579" s="33">
        <v>0.159</v>
      </c>
      <c r="D579" s="33">
        <v>0</v>
      </c>
      <c r="E579" s="33">
        <v>0.159</v>
      </c>
      <c r="F579" s="33">
        <f>SCE_Ds[[#This Row],[With Margins ($)]]-SCE_Ds[[#This Row],[ without Margins ( $)]]</f>
        <v>0</v>
      </c>
      <c r="G579" s="11" t="str">
        <f>IF(E578&lt;0.5,"Low", "High")</f>
        <v>Low</v>
      </c>
      <c r="H579" s="9">
        <f>SCE_Ds[[#This Row],[Margins ($)]]/SCE_Ds[[#This Row],[With Margins ($)]]</f>
        <v>0</v>
      </c>
    </row>
    <row r="580" spans="1:8" x14ac:dyDescent="0.3">
      <c r="A580">
        <v>561110</v>
      </c>
      <c r="B580" t="s">
        <v>885</v>
      </c>
      <c r="C580" s="33">
        <v>0.1</v>
      </c>
      <c r="D580" s="33">
        <v>0</v>
      </c>
      <c r="E580" s="33">
        <v>0.1</v>
      </c>
      <c r="F580" s="33">
        <f>SCE_Ds[[#This Row],[With Margins ($)]]-SCE_Ds[[#This Row],[ without Margins ( $)]]</f>
        <v>0</v>
      </c>
      <c r="G580" s="11" t="str">
        <f>IF(E579&lt;0.5,"Low", "High")</f>
        <v>Low</v>
      </c>
      <c r="H580" s="9">
        <f>SCE_Ds[[#This Row],[Margins ($)]]/SCE_Ds[[#This Row],[With Margins ($)]]</f>
        <v>0</v>
      </c>
    </row>
    <row r="581" spans="1:8" x14ac:dyDescent="0.3">
      <c r="A581">
        <v>423420</v>
      </c>
      <c r="B581" t="s">
        <v>538</v>
      </c>
      <c r="C581" s="33">
        <v>7.3999999999999996E-2</v>
      </c>
      <c r="D581" s="33">
        <v>0</v>
      </c>
      <c r="E581" s="33">
        <v>7.3999999999999996E-2</v>
      </c>
      <c r="F581" s="33">
        <f>SCE_Ds[[#This Row],[With Margins ($)]]-SCE_Ds[[#This Row],[ without Margins ( $)]]</f>
        <v>0</v>
      </c>
      <c r="G581" s="11" t="str">
        <f>IF(E580&lt;0.5,"Low", "High")</f>
        <v>Low</v>
      </c>
      <c r="H581" s="9">
        <f>SCE_Ds[[#This Row],[Margins ($)]]/SCE_Ds[[#This Row],[With Margins ($)]]</f>
        <v>0</v>
      </c>
    </row>
    <row r="582" spans="1:8" x14ac:dyDescent="0.3">
      <c r="A582">
        <v>337214</v>
      </c>
      <c r="B582" t="s">
        <v>506</v>
      </c>
      <c r="C582" s="33">
        <v>0.184</v>
      </c>
      <c r="D582" s="33">
        <v>5.6000000000000001E-2</v>
      </c>
      <c r="E582" s="33">
        <v>0.24</v>
      </c>
      <c r="F582" s="33">
        <f>SCE_Ds[[#This Row],[With Margins ($)]]-SCE_Ds[[#This Row],[ without Margins ( $)]]</f>
        <v>5.5999999999999994E-2</v>
      </c>
      <c r="G582" s="11" t="str">
        <f>IF(E581&lt;0.5,"Low", "High")</f>
        <v>Low</v>
      </c>
      <c r="H582" s="9">
        <f>SCE_Ds[[#This Row],[Margins ($)]]/SCE_Ds[[#This Row],[With Margins ($)]]</f>
        <v>0.23333333333333334</v>
      </c>
    </row>
    <row r="583" spans="1:8" x14ac:dyDescent="0.3">
      <c r="A583">
        <v>532420</v>
      </c>
      <c r="B583" t="s">
        <v>827</v>
      </c>
      <c r="C583" s="33">
        <v>0.106</v>
      </c>
      <c r="D583" s="33">
        <v>0</v>
      </c>
      <c r="E583" s="33">
        <v>0.106</v>
      </c>
      <c r="F583" s="33">
        <f>SCE_Ds[[#This Row],[With Margins ($)]]-SCE_Ds[[#This Row],[ without Margins ( $)]]</f>
        <v>0</v>
      </c>
      <c r="G583" s="11" t="str">
        <f>IF(E582&lt;0.5,"Low", "High")</f>
        <v>Low</v>
      </c>
      <c r="H583" s="9">
        <f>SCE_Ds[[#This Row],[Margins ($)]]/SCE_Ds[[#This Row],[With Margins ($)]]</f>
        <v>0</v>
      </c>
    </row>
    <row r="584" spans="1:8" x14ac:dyDescent="0.3">
      <c r="A584">
        <v>339940</v>
      </c>
      <c r="B584" t="s">
        <v>518</v>
      </c>
      <c r="C584" s="33">
        <v>0.20399999999999999</v>
      </c>
      <c r="D584" s="33">
        <v>6.0999999999999999E-2</v>
      </c>
      <c r="E584" s="33">
        <v>0.26500000000000001</v>
      </c>
      <c r="F584" s="33">
        <f>SCE_Ds[[#This Row],[With Margins ($)]]-SCE_Ds[[#This Row],[ without Margins ( $)]]</f>
        <v>6.1000000000000026E-2</v>
      </c>
      <c r="G584" s="11" t="str">
        <f>IF(E583&lt;0.5,"Low", "High")</f>
        <v>Low</v>
      </c>
      <c r="H584" s="9">
        <f>SCE_Ds[[#This Row],[Margins ($)]]/SCE_Ds[[#This Row],[With Margins ($)]]</f>
        <v>0.230188679245283</v>
      </c>
    </row>
    <row r="585" spans="1:8" x14ac:dyDescent="0.3">
      <c r="A585">
        <v>453210</v>
      </c>
      <c r="B585" t="s">
        <v>654</v>
      </c>
      <c r="C585" s="33">
        <v>0.111</v>
      </c>
      <c r="D585" s="33">
        <v>0</v>
      </c>
      <c r="E585" s="33">
        <v>0.111</v>
      </c>
      <c r="F585" s="33">
        <f>SCE_Ds[[#This Row],[With Margins ($)]]-SCE_Ds[[#This Row],[ without Margins ( $)]]</f>
        <v>0</v>
      </c>
      <c r="G585" s="11" t="str">
        <f>IF(E584&lt;0.5,"Low", "High")</f>
        <v>Low</v>
      </c>
      <c r="H585" s="9">
        <f>SCE_Ds[[#This Row],[Margins ($)]]/SCE_Ds[[#This Row],[With Margins ($)]]</f>
        <v>0</v>
      </c>
    </row>
    <row r="586" spans="1:8" x14ac:dyDescent="0.3">
      <c r="A586">
        <v>621399</v>
      </c>
      <c r="B586" t="s">
        <v>956</v>
      </c>
      <c r="C586" s="33">
        <v>0.105</v>
      </c>
      <c r="D586" s="33">
        <v>0</v>
      </c>
      <c r="E586" s="33">
        <v>0.105</v>
      </c>
      <c r="F586" s="33">
        <f>SCE_Ds[[#This Row],[With Margins ($)]]-SCE_Ds[[#This Row],[ without Margins ( $)]]</f>
        <v>0</v>
      </c>
      <c r="G586" s="11" t="str">
        <f>IF(E585&lt;0.5,"Low", "High")</f>
        <v>Low</v>
      </c>
      <c r="H586" s="9">
        <f>SCE_Ds[[#This Row],[Margins ($)]]/SCE_Ds[[#This Row],[With Margins ($)]]</f>
        <v>0</v>
      </c>
    </row>
    <row r="587" spans="1:8" x14ac:dyDescent="0.3">
      <c r="A587">
        <v>551111</v>
      </c>
      <c r="B587" t="s">
        <v>882</v>
      </c>
      <c r="C587" s="33">
        <v>8.4000000000000005E-2</v>
      </c>
      <c r="D587" s="33">
        <v>0</v>
      </c>
      <c r="E587" s="33">
        <v>8.4000000000000005E-2</v>
      </c>
      <c r="F587" s="33">
        <f>SCE_Ds[[#This Row],[With Margins ($)]]-SCE_Ds[[#This Row],[ without Margins ( $)]]</f>
        <v>0</v>
      </c>
      <c r="G587" s="11" t="str">
        <f>IF(E586&lt;0.5,"Low", "High")</f>
        <v>Low</v>
      </c>
      <c r="H587" s="9">
        <f>SCE_Ds[[#This Row],[Margins ($)]]/SCE_Ds[[#This Row],[With Margins ($)]]</f>
        <v>0</v>
      </c>
    </row>
    <row r="588" spans="1:8" x14ac:dyDescent="0.3">
      <c r="A588">
        <v>541211</v>
      </c>
      <c r="B588" t="s">
        <v>834</v>
      </c>
      <c r="C588" s="33">
        <v>5.3999999999999999E-2</v>
      </c>
      <c r="D588" s="33">
        <v>0</v>
      </c>
      <c r="E588" s="33">
        <v>5.3999999999999999E-2</v>
      </c>
      <c r="F588" s="33">
        <f>SCE_Ds[[#This Row],[With Margins ($)]]-SCE_Ds[[#This Row],[ without Margins ( $)]]</f>
        <v>0</v>
      </c>
      <c r="G588" s="11" t="str">
        <f>IF(E587&lt;0.5,"Low", "High")</f>
        <v>Low</v>
      </c>
      <c r="H588" s="9">
        <f>SCE_Ds[[#This Row],[Margins ($)]]/SCE_Ds[[#This Row],[With Margins ($)]]</f>
        <v>0</v>
      </c>
    </row>
    <row r="589" spans="1:8" x14ac:dyDescent="0.3">
      <c r="A589">
        <v>621310</v>
      </c>
      <c r="B589" t="s">
        <v>951</v>
      </c>
      <c r="C589" s="33">
        <v>0.105</v>
      </c>
      <c r="D589" s="33">
        <v>0</v>
      </c>
      <c r="E589" s="33">
        <v>0.105</v>
      </c>
      <c r="F589" s="33">
        <f>SCE_Ds[[#This Row],[With Margins ($)]]-SCE_Ds[[#This Row],[ without Margins ( $)]]</f>
        <v>0</v>
      </c>
      <c r="G589" s="11" t="str">
        <f>IF(E588&lt;0.5,"Low", "High")</f>
        <v>Low</v>
      </c>
      <c r="H589" s="9">
        <f>SCE_Ds[[#This Row],[Margins ($)]]/SCE_Ds[[#This Row],[With Margins ($)]]</f>
        <v>0</v>
      </c>
    </row>
    <row r="590" spans="1:8" x14ac:dyDescent="0.3">
      <c r="A590">
        <v>621210</v>
      </c>
      <c r="B590" t="s">
        <v>950</v>
      </c>
      <c r="C590" s="33">
        <v>5.6000000000000001E-2</v>
      </c>
      <c r="D590" s="33">
        <v>0</v>
      </c>
      <c r="E590" s="33">
        <v>5.6000000000000001E-2</v>
      </c>
      <c r="F590" s="33">
        <f>SCE_Ds[[#This Row],[With Margins ($)]]-SCE_Ds[[#This Row],[ without Margins ( $)]]</f>
        <v>0</v>
      </c>
      <c r="G590" s="11" t="str">
        <f>IF(E589&lt;0.5,"Low", "High")</f>
        <v>Low</v>
      </c>
      <c r="H590" s="9">
        <f>SCE_Ds[[#This Row],[Margins ($)]]/SCE_Ds[[#This Row],[With Margins ($)]]</f>
        <v>0</v>
      </c>
    </row>
    <row r="591" spans="1:8" x14ac:dyDescent="0.3">
      <c r="A591">
        <v>541110</v>
      </c>
      <c r="B591" t="s">
        <v>830</v>
      </c>
      <c r="C591" s="33">
        <v>4.1000000000000002E-2</v>
      </c>
      <c r="D591" s="33">
        <v>0</v>
      </c>
      <c r="E591" s="33">
        <v>4.1000000000000002E-2</v>
      </c>
      <c r="F591" s="33">
        <f>SCE_Ds[[#This Row],[With Margins ($)]]-SCE_Ds[[#This Row],[ without Margins ( $)]]</f>
        <v>0</v>
      </c>
      <c r="G591" s="11" t="str">
        <f>IF(E590&lt;0.5,"Low", "High")</f>
        <v>Low</v>
      </c>
      <c r="H591" s="9">
        <f>SCE_Ds[[#This Row],[Margins ($)]]/SCE_Ds[[#This Row],[With Margins ($)]]</f>
        <v>0</v>
      </c>
    </row>
    <row r="592" spans="1:8" x14ac:dyDescent="0.3">
      <c r="A592">
        <v>621330</v>
      </c>
      <c r="B592" t="s">
        <v>953</v>
      </c>
      <c r="C592" s="33">
        <v>0.105</v>
      </c>
      <c r="D592" s="33">
        <v>0</v>
      </c>
      <c r="E592" s="33">
        <v>0.105</v>
      </c>
      <c r="F592" s="33">
        <f>SCE_Ds[[#This Row],[With Margins ($)]]-SCE_Ds[[#This Row],[ without Margins ( $)]]</f>
        <v>0</v>
      </c>
      <c r="G592" s="11" t="str">
        <f>IF(E591&lt;0.5,"Low", "High")</f>
        <v>Low</v>
      </c>
      <c r="H592" s="9">
        <f>SCE_Ds[[#This Row],[Margins ($)]]/SCE_Ds[[#This Row],[With Margins ($)]]</f>
        <v>0</v>
      </c>
    </row>
    <row r="593" spans="1:8" x14ac:dyDescent="0.3">
      <c r="A593">
        <v>541120</v>
      </c>
      <c r="B593" t="s">
        <v>831</v>
      </c>
      <c r="C593" s="33">
        <v>4.1000000000000002E-2</v>
      </c>
      <c r="D593" s="33">
        <v>0</v>
      </c>
      <c r="E593" s="33">
        <v>4.1000000000000002E-2</v>
      </c>
      <c r="F593" s="33">
        <f>SCE_Ds[[#This Row],[With Margins ($)]]-SCE_Ds[[#This Row],[ without Margins ( $)]]</f>
        <v>0</v>
      </c>
      <c r="G593" s="11" t="str">
        <f>IF(E592&lt;0.5,"Low", "High")</f>
        <v>Low</v>
      </c>
      <c r="H593" s="9">
        <f>SCE_Ds[[#This Row],[Margins ($)]]/SCE_Ds[[#This Row],[With Margins ($)]]</f>
        <v>0</v>
      </c>
    </row>
    <row r="594" spans="1:8" x14ac:dyDescent="0.3">
      <c r="A594">
        <v>621320</v>
      </c>
      <c r="B594" t="s">
        <v>952</v>
      </c>
      <c r="C594" s="33">
        <v>0.105</v>
      </c>
      <c r="D594" s="33">
        <v>0</v>
      </c>
      <c r="E594" s="33">
        <v>0.105</v>
      </c>
      <c r="F594" s="33">
        <f>SCE_Ds[[#This Row],[With Margins ($)]]-SCE_Ds[[#This Row],[ without Margins ( $)]]</f>
        <v>0</v>
      </c>
      <c r="G594" s="11" t="str">
        <f>IF(E593&lt;0.5,"Low", "High")</f>
        <v>Low</v>
      </c>
      <c r="H594" s="9">
        <f>SCE_Ds[[#This Row],[Margins ($)]]/SCE_Ds[[#This Row],[With Margins ($)]]</f>
        <v>0</v>
      </c>
    </row>
    <row r="595" spans="1:8" x14ac:dyDescent="0.3">
      <c r="A595">
        <v>551112</v>
      </c>
      <c r="B595" t="s">
        <v>883</v>
      </c>
      <c r="C595" s="33">
        <v>8.4000000000000005E-2</v>
      </c>
      <c r="D595" s="33">
        <v>0</v>
      </c>
      <c r="E595" s="33">
        <v>8.4000000000000005E-2</v>
      </c>
      <c r="F595" s="33">
        <f>SCE_Ds[[#This Row],[With Margins ($)]]-SCE_Ds[[#This Row],[ without Margins ( $)]]</f>
        <v>0</v>
      </c>
      <c r="G595" s="11" t="str">
        <f>IF(E594&lt;0.5,"Low", "High")</f>
        <v>Low</v>
      </c>
      <c r="H595" s="9">
        <f>SCE_Ds[[#This Row],[Margins ($)]]/SCE_Ds[[#This Row],[With Margins ($)]]</f>
        <v>0</v>
      </c>
    </row>
    <row r="596" spans="1:8" x14ac:dyDescent="0.3">
      <c r="A596">
        <v>621340</v>
      </c>
      <c r="B596" t="s">
        <v>954</v>
      </c>
      <c r="C596" s="33">
        <v>0.105</v>
      </c>
      <c r="D596" s="33">
        <v>0</v>
      </c>
      <c r="E596" s="33">
        <v>0.105</v>
      </c>
      <c r="F596" s="33">
        <f>SCE_Ds[[#This Row],[With Margins ($)]]-SCE_Ds[[#This Row],[ without Margins ( $)]]</f>
        <v>0</v>
      </c>
      <c r="G596" s="11" t="str">
        <f>IF(E595&lt;0.5,"Low", "High")</f>
        <v>Low</v>
      </c>
      <c r="H596" s="9">
        <f>SCE_Ds[[#This Row],[Margins ($)]]/SCE_Ds[[#This Row],[With Margins ($)]]</f>
        <v>0</v>
      </c>
    </row>
    <row r="597" spans="1:8" x14ac:dyDescent="0.3">
      <c r="A597">
        <v>621111</v>
      </c>
      <c r="B597" t="s">
        <v>948</v>
      </c>
      <c r="C597" s="33">
        <v>8.3000000000000004E-2</v>
      </c>
      <c r="D597" s="33">
        <v>0</v>
      </c>
      <c r="E597" s="33">
        <v>8.3000000000000004E-2</v>
      </c>
      <c r="F597" s="33">
        <f>SCE_Ds[[#This Row],[With Margins ($)]]-SCE_Ds[[#This Row],[ without Margins ( $)]]</f>
        <v>0</v>
      </c>
      <c r="G597" s="11" t="str">
        <f>IF(E596&lt;0.5,"Low", "High")</f>
        <v>Low</v>
      </c>
      <c r="H597" s="9">
        <f>SCE_Ds[[#This Row],[Margins ($)]]/SCE_Ds[[#This Row],[With Margins ($)]]</f>
        <v>0</v>
      </c>
    </row>
    <row r="598" spans="1:8" x14ac:dyDescent="0.3">
      <c r="A598">
        <v>621112</v>
      </c>
      <c r="B598" t="s">
        <v>949</v>
      </c>
      <c r="C598" s="33">
        <v>8.3000000000000004E-2</v>
      </c>
      <c r="D598" s="33">
        <v>0</v>
      </c>
      <c r="E598" s="33">
        <v>8.3000000000000004E-2</v>
      </c>
      <c r="F598" s="33">
        <f>SCE_Ds[[#This Row],[With Margins ($)]]-SCE_Ds[[#This Row],[ without Margins ( $)]]</f>
        <v>0</v>
      </c>
      <c r="G598" s="11" t="str">
        <f>IF(E597&lt;0.5,"Low", "High")</f>
        <v>Low</v>
      </c>
      <c r="H598" s="9">
        <f>SCE_Ds[[#This Row],[Margins ($)]]/SCE_Ds[[#This Row],[With Margins ($)]]</f>
        <v>0</v>
      </c>
    </row>
    <row r="599" spans="1:8" x14ac:dyDescent="0.3">
      <c r="A599">
        <v>621391</v>
      </c>
      <c r="B599" t="s">
        <v>955</v>
      </c>
      <c r="C599" s="33">
        <v>0.105</v>
      </c>
      <c r="D599" s="33">
        <v>0</v>
      </c>
      <c r="E599" s="33">
        <v>0.105</v>
      </c>
      <c r="F599" s="33">
        <f>SCE_Ds[[#This Row],[With Margins ($)]]-SCE_Ds[[#This Row],[ without Margins ( $)]]</f>
        <v>0</v>
      </c>
      <c r="G599" s="11" t="str">
        <f>IF(E598&lt;0.5,"Low", "High")</f>
        <v>Low</v>
      </c>
      <c r="H599" s="9">
        <f>SCE_Ds[[#This Row],[Margins ($)]]/SCE_Ds[[#This Row],[With Margins ($)]]</f>
        <v>0</v>
      </c>
    </row>
    <row r="600" spans="1:8" x14ac:dyDescent="0.3">
      <c r="A600">
        <v>531210</v>
      </c>
      <c r="B600" t="s">
        <v>809</v>
      </c>
      <c r="C600" s="33">
        <v>0.246</v>
      </c>
      <c r="D600" s="33">
        <v>0</v>
      </c>
      <c r="E600" s="33">
        <v>0.246</v>
      </c>
      <c r="F600" s="33">
        <f>SCE_Ds[[#This Row],[With Margins ($)]]-SCE_Ds[[#This Row],[ without Margins ( $)]]</f>
        <v>0</v>
      </c>
      <c r="G600" s="11" t="str">
        <f>IF(E599&lt;0.5,"Low", "High")</f>
        <v>Low</v>
      </c>
      <c r="H600" s="9">
        <f>SCE_Ds[[#This Row],[Margins ($)]]/SCE_Ds[[#This Row],[With Margins ($)]]</f>
        <v>0</v>
      </c>
    </row>
    <row r="601" spans="1:8" x14ac:dyDescent="0.3">
      <c r="A601">
        <v>531320</v>
      </c>
      <c r="B601" t="s">
        <v>812</v>
      </c>
      <c r="C601" s="33">
        <v>0.246</v>
      </c>
      <c r="D601" s="33">
        <v>0</v>
      </c>
      <c r="E601" s="33">
        <v>0.246</v>
      </c>
      <c r="F601" s="33">
        <f>SCE_Ds[[#This Row],[With Margins ($)]]-SCE_Ds[[#This Row],[ without Margins ( $)]]</f>
        <v>0</v>
      </c>
      <c r="G601" s="11" t="str">
        <f>IF(E600&lt;0.5,"Low", "High")</f>
        <v>Low</v>
      </c>
      <c r="H601" s="9">
        <f>SCE_Ds[[#This Row],[Margins ($)]]/SCE_Ds[[#This Row],[With Margins ($)]]</f>
        <v>0</v>
      </c>
    </row>
    <row r="602" spans="1:8" x14ac:dyDescent="0.3">
      <c r="A602">
        <v>333132</v>
      </c>
      <c r="B602" t="s">
        <v>384</v>
      </c>
      <c r="C602" s="33">
        <v>0.17499999999999999</v>
      </c>
      <c r="D602" s="33">
        <v>4.3999999999999997E-2</v>
      </c>
      <c r="E602" s="33">
        <v>0.219</v>
      </c>
      <c r="F602" s="33">
        <f>SCE_Ds[[#This Row],[With Margins ($)]]-SCE_Ds[[#This Row],[ without Margins ( $)]]</f>
        <v>4.4000000000000011E-2</v>
      </c>
      <c r="G602" s="11" t="str">
        <f>IF(E601&lt;0.5,"Low", "High")</f>
        <v>Low</v>
      </c>
      <c r="H602" s="9">
        <f>SCE_Ds[[#This Row],[Margins ($)]]/SCE_Ds[[#This Row],[With Margins ($)]]</f>
        <v>0.20091324200913241</v>
      </c>
    </row>
    <row r="603" spans="1:8" x14ac:dyDescent="0.3">
      <c r="A603">
        <v>237120</v>
      </c>
      <c r="B603" t="s">
        <v>119</v>
      </c>
      <c r="C603" s="33">
        <v>0.27700000000000002</v>
      </c>
      <c r="D603" s="33">
        <v>0</v>
      </c>
      <c r="E603" s="33">
        <v>0.27700000000000002</v>
      </c>
      <c r="F603" s="33">
        <f>SCE_Ds[[#This Row],[With Margins ($)]]-SCE_Ds[[#This Row],[ without Margins ( $)]]</f>
        <v>0</v>
      </c>
      <c r="G603" s="11" t="str">
        <f>IF(E602&lt;0.5,"Low", "High")</f>
        <v>Low</v>
      </c>
      <c r="H603" s="9">
        <f>SCE_Ds[[#This Row],[Margins ($)]]/SCE_Ds[[#This Row],[With Margins ($)]]</f>
        <v>0</v>
      </c>
    </row>
    <row r="604" spans="1:8" x14ac:dyDescent="0.3">
      <c r="A604">
        <v>111120</v>
      </c>
      <c r="B604" t="s">
        <v>8</v>
      </c>
      <c r="C604" s="33">
        <v>0.48799999999999999</v>
      </c>
      <c r="D604" s="34">
        <v>4.3999999999999997E-2</v>
      </c>
      <c r="E604" s="33">
        <v>0.53200000000000003</v>
      </c>
      <c r="F604" s="33">
        <f>SCE_Ds[[#This Row],[With Margins ($)]]-SCE_Ds[[#This Row],[ without Margins ( $)]]</f>
        <v>4.4000000000000039E-2</v>
      </c>
      <c r="G604" s="11" t="str">
        <f>IF(E603&lt;0.5,"Low", "High")</f>
        <v>Low</v>
      </c>
      <c r="H604" s="9">
        <f>SCE_Ds[[#This Row],[Margins ($)]]/SCE_Ds[[#This Row],[With Margins ($)]]</f>
        <v>8.2706766917293228E-2</v>
      </c>
    </row>
    <row r="605" spans="1:8" x14ac:dyDescent="0.3">
      <c r="A605">
        <v>111191</v>
      </c>
      <c r="B605" t="s">
        <v>14</v>
      </c>
      <c r="C605" s="33">
        <v>0.80900000000000005</v>
      </c>
      <c r="D605" s="34">
        <v>0.04</v>
      </c>
      <c r="E605" s="33">
        <v>0.84799999999999998</v>
      </c>
      <c r="F605" s="33">
        <f>SCE_Ds[[#This Row],[With Margins ($)]]-SCE_Ds[[#This Row],[ without Margins ( $)]]</f>
        <v>3.8999999999999924E-2</v>
      </c>
      <c r="G605" s="11" t="str">
        <f>IF(E604&lt;0.5,"Low", "High")</f>
        <v>High</v>
      </c>
      <c r="H605" s="9">
        <f>SCE_Ds[[#This Row],[Margins ($)]]/SCE_Ds[[#This Row],[With Margins ($)]]</f>
        <v>4.716981132075472E-2</v>
      </c>
    </row>
    <row r="606" spans="1:8" x14ac:dyDescent="0.3">
      <c r="A606">
        <v>812922</v>
      </c>
      <c r="B606" t="s">
        <v>1064</v>
      </c>
      <c r="C606" s="33">
        <v>0.111</v>
      </c>
      <c r="D606" s="33">
        <v>0</v>
      </c>
      <c r="E606" s="33">
        <v>0.111</v>
      </c>
      <c r="F606" s="33">
        <f>SCE_Ds[[#This Row],[With Margins ($)]]-SCE_Ds[[#This Row],[ without Margins ( $)]]</f>
        <v>0</v>
      </c>
      <c r="G606" s="11" t="str">
        <f>IF(E605&lt;0.5,"Low", "High")</f>
        <v>High</v>
      </c>
      <c r="H606" s="9">
        <f>SCE_Ds[[#This Row],[Margins ($)]]/SCE_Ds[[#This Row],[With Margins ($)]]</f>
        <v>0</v>
      </c>
    </row>
    <row r="607" spans="1:8" x14ac:dyDescent="0.3">
      <c r="A607">
        <v>525910</v>
      </c>
      <c r="B607" t="s">
        <v>800</v>
      </c>
      <c r="C607" s="33">
        <v>0.218</v>
      </c>
      <c r="D607" s="33">
        <v>0</v>
      </c>
      <c r="E607" s="33">
        <v>0.218</v>
      </c>
      <c r="F607" s="33">
        <f>SCE_Ds[[#This Row],[With Margins ($)]]-SCE_Ds[[#This Row],[ without Margins ( $)]]</f>
        <v>0</v>
      </c>
      <c r="G607" s="11" t="str">
        <f>IF(E606&lt;0.5,"Low", "High")</f>
        <v>Low</v>
      </c>
      <c r="H607" s="9">
        <f>SCE_Ds[[#This Row],[Margins ($)]]/SCE_Ds[[#This Row],[With Margins ($)]]</f>
        <v>0</v>
      </c>
    </row>
    <row r="608" spans="1:8" x14ac:dyDescent="0.3">
      <c r="A608">
        <v>339115</v>
      </c>
      <c r="B608" t="s">
        <v>513</v>
      </c>
      <c r="C608" s="33">
        <v>8.5999999999999993E-2</v>
      </c>
      <c r="D608" s="33">
        <v>5.1999999999999998E-2</v>
      </c>
      <c r="E608" s="33">
        <v>0.13800000000000001</v>
      </c>
      <c r="F608" s="33">
        <f>SCE_Ds[[#This Row],[With Margins ($)]]-SCE_Ds[[#This Row],[ without Margins ( $)]]</f>
        <v>5.2000000000000018E-2</v>
      </c>
      <c r="G608" s="11" t="str">
        <f>IF(E607&lt;0.5,"Low", "High")</f>
        <v>Low</v>
      </c>
      <c r="H608" s="9">
        <f>SCE_Ds[[#This Row],[Margins ($)]]/SCE_Ds[[#This Row],[With Margins ($)]]</f>
        <v>0.3768115942028985</v>
      </c>
    </row>
    <row r="609" spans="1:8" x14ac:dyDescent="0.3">
      <c r="A609">
        <v>423460</v>
      </c>
      <c r="B609" t="s">
        <v>542</v>
      </c>
      <c r="C609" s="33">
        <v>7.3999999999999996E-2</v>
      </c>
      <c r="D609" s="33">
        <v>0</v>
      </c>
      <c r="E609" s="33">
        <v>7.3999999999999996E-2</v>
      </c>
      <c r="F609" s="33">
        <f>SCE_Ds[[#This Row],[With Margins ($)]]-SCE_Ds[[#This Row],[ without Margins ( $)]]</f>
        <v>0</v>
      </c>
      <c r="G609" s="11" t="str">
        <f>IF(E608&lt;0.5,"Low", "High")</f>
        <v>Low</v>
      </c>
      <c r="H609" s="9">
        <f>SCE_Ds[[#This Row],[Margins ($)]]/SCE_Ds[[#This Row],[With Margins ($)]]</f>
        <v>0</v>
      </c>
    </row>
    <row r="610" spans="1:8" x14ac:dyDescent="0.3">
      <c r="A610">
        <v>446130</v>
      </c>
      <c r="B610" t="s">
        <v>630</v>
      </c>
      <c r="C610" s="33">
        <v>0.13</v>
      </c>
      <c r="D610" s="33">
        <v>0</v>
      </c>
      <c r="E610" s="33">
        <v>0.13</v>
      </c>
      <c r="F610" s="33">
        <f>SCE_Ds[[#This Row],[With Margins ($)]]-SCE_Ds[[#This Row],[ without Margins ( $)]]</f>
        <v>0</v>
      </c>
      <c r="G610" s="11" t="str">
        <f>IF(E609&lt;0.5,"Low", "High")</f>
        <v>Low</v>
      </c>
      <c r="H610" s="9">
        <f>SCE_Ds[[#This Row],[Margins ($)]]/SCE_Ds[[#This Row],[With Margins ($)]]</f>
        <v>0</v>
      </c>
    </row>
    <row r="611" spans="1:8" x14ac:dyDescent="0.3">
      <c r="A611">
        <v>333314</v>
      </c>
      <c r="B611" t="s">
        <v>391</v>
      </c>
      <c r="C611" s="33">
        <v>0.152</v>
      </c>
      <c r="D611" s="33">
        <v>2.3E-2</v>
      </c>
      <c r="E611" s="33">
        <v>0.17499999999999999</v>
      </c>
      <c r="F611" s="33">
        <f>SCE_Ds[[#This Row],[With Margins ($)]]-SCE_Ds[[#This Row],[ without Margins ( $)]]</f>
        <v>2.2999999999999993E-2</v>
      </c>
      <c r="G611" s="11" t="str">
        <f>IF(E610&lt;0.5,"Low", "High")</f>
        <v>Low</v>
      </c>
      <c r="H611" s="9">
        <f>SCE_Ds[[#This Row],[Margins ($)]]/SCE_Ds[[#This Row],[With Margins ($)]]</f>
        <v>0.13142857142857142</v>
      </c>
    </row>
    <row r="612" spans="1:8" x14ac:dyDescent="0.3">
      <c r="A612">
        <v>111310</v>
      </c>
      <c r="B612" t="s">
        <v>18</v>
      </c>
      <c r="C612" s="33">
        <v>0.42899999999999999</v>
      </c>
      <c r="D612" s="34">
        <v>5.8999999999999997E-2</v>
      </c>
      <c r="E612" s="33">
        <v>0.48799999999999999</v>
      </c>
      <c r="F612" s="33">
        <f>SCE_Ds[[#This Row],[With Margins ($)]]-SCE_Ds[[#This Row],[ without Margins ( $)]]</f>
        <v>5.8999999999999997E-2</v>
      </c>
      <c r="G612" s="11" t="str">
        <f>IF(E611&lt;0.5,"Low", "High")</f>
        <v>Low</v>
      </c>
      <c r="H612" s="9">
        <f>SCE_Ds[[#This Row],[Margins ($)]]/SCE_Ds[[#This Row],[With Margins ($)]]</f>
        <v>0.12090163934426229</v>
      </c>
    </row>
    <row r="613" spans="1:8" x14ac:dyDescent="0.3">
      <c r="A613">
        <v>332323</v>
      </c>
      <c r="B613" t="s">
        <v>354</v>
      </c>
      <c r="C613" s="33">
        <v>0.19500000000000001</v>
      </c>
      <c r="D613" s="33">
        <v>2.5999999999999999E-2</v>
      </c>
      <c r="E613" s="33">
        <v>0.221</v>
      </c>
      <c r="F613" s="33">
        <f>SCE_Ds[[#This Row],[With Margins ($)]]-SCE_Ds[[#This Row],[ without Margins ( $)]]</f>
        <v>2.5999999999999995E-2</v>
      </c>
      <c r="G613" s="11" t="str">
        <f>IF(E612&lt;0.5,"Low", "High")</f>
        <v>Low</v>
      </c>
      <c r="H613" s="9">
        <f>SCE_Ds[[#This Row],[Margins ($)]]/SCE_Ds[[#This Row],[With Margins ($)]]</f>
        <v>0.11764705882352941</v>
      </c>
    </row>
    <row r="614" spans="1:8" x14ac:dyDescent="0.3">
      <c r="A614">
        <v>541219</v>
      </c>
      <c r="B614" t="s">
        <v>837</v>
      </c>
      <c r="C614" s="33">
        <v>5.3999999999999999E-2</v>
      </c>
      <c r="D614" s="33">
        <v>0</v>
      </c>
      <c r="E614" s="33">
        <v>5.3999999999999999E-2</v>
      </c>
      <c r="F614" s="33">
        <f>SCE_Ds[[#This Row],[With Margins ($)]]-SCE_Ds[[#This Row],[ without Margins ( $)]]</f>
        <v>0</v>
      </c>
      <c r="G614" s="11" t="str">
        <f>IF(E613&lt;0.5,"Low", "High")</f>
        <v>Low</v>
      </c>
      <c r="H614" s="9">
        <f>SCE_Ds[[#This Row],[Margins ($)]]/SCE_Ds[[#This Row],[With Margins ($)]]</f>
        <v>0</v>
      </c>
    </row>
    <row r="615" spans="1:8" x14ac:dyDescent="0.3">
      <c r="A615">
        <v>522390</v>
      </c>
      <c r="B615" t="s">
        <v>774</v>
      </c>
      <c r="C615" s="33">
        <v>7.1999999999999995E-2</v>
      </c>
      <c r="D615" s="33">
        <v>0</v>
      </c>
      <c r="E615" s="33">
        <v>7.1999999999999995E-2</v>
      </c>
      <c r="F615" s="33">
        <f>SCE_Ds[[#This Row],[With Margins ($)]]-SCE_Ds[[#This Row],[ without Margins ( $)]]</f>
        <v>0</v>
      </c>
      <c r="G615" s="11" t="str">
        <f>IF(E614&lt;0.5,"Low", "High")</f>
        <v>Low</v>
      </c>
      <c r="H615" s="9">
        <f>SCE_Ds[[#This Row],[Margins ($)]]/SCE_Ds[[#This Row],[With Margins ($)]]</f>
        <v>0</v>
      </c>
    </row>
    <row r="616" spans="1:8" x14ac:dyDescent="0.3">
      <c r="A616">
        <v>531390</v>
      </c>
      <c r="B616" t="s">
        <v>813</v>
      </c>
      <c r="C616" s="33">
        <v>0.246</v>
      </c>
      <c r="D616" s="33">
        <v>0</v>
      </c>
      <c r="E616" s="33">
        <v>0.246</v>
      </c>
      <c r="F616" s="33">
        <f>SCE_Ds[[#This Row],[With Margins ($)]]-SCE_Ds[[#This Row],[ without Margins ( $)]]</f>
        <v>0</v>
      </c>
      <c r="G616" s="11" t="str">
        <f>IF(E615&lt;0.5,"Low", "High")</f>
        <v>Low</v>
      </c>
      <c r="H616" s="9">
        <f>SCE_Ds[[#This Row],[Margins ($)]]/SCE_Ds[[#This Row],[With Margins ($)]]</f>
        <v>0</v>
      </c>
    </row>
    <row r="617" spans="1:8" x14ac:dyDescent="0.3">
      <c r="A617">
        <v>336413</v>
      </c>
      <c r="B617" t="s">
        <v>485</v>
      </c>
      <c r="C617" s="33">
        <v>0.16300000000000001</v>
      </c>
      <c r="D617" s="33">
        <v>7.0000000000000001E-3</v>
      </c>
      <c r="E617" s="33">
        <v>0.17</v>
      </c>
      <c r="F617" s="33">
        <f>SCE_Ds[[#This Row],[With Margins ($)]]-SCE_Ds[[#This Row],[ without Margins ( $)]]</f>
        <v>7.0000000000000062E-3</v>
      </c>
      <c r="G617" s="11" t="str">
        <f>IF(E616&lt;0.5,"Low", "High")</f>
        <v>Low</v>
      </c>
      <c r="H617" s="9">
        <f>SCE_Ds[[#This Row],[Margins ($)]]/SCE_Ds[[#This Row],[With Margins ($)]]</f>
        <v>4.1176470588235294E-2</v>
      </c>
    </row>
    <row r="618" spans="1:8" x14ac:dyDescent="0.3">
      <c r="A618">
        <v>488119</v>
      </c>
      <c r="B618" t="s">
        <v>705</v>
      </c>
      <c r="C618" s="33">
        <v>0.16200000000000001</v>
      </c>
      <c r="D618" s="33">
        <v>0</v>
      </c>
      <c r="E618" s="33">
        <v>0.16200000000000001</v>
      </c>
      <c r="F618" s="33">
        <f>SCE_Ds[[#This Row],[With Margins ($)]]-SCE_Ds[[#This Row],[ without Margins ( $)]]</f>
        <v>0</v>
      </c>
      <c r="G618" s="11" t="str">
        <f>IF(E617&lt;0.5,"Low", "High")</f>
        <v>Low</v>
      </c>
      <c r="H618" s="9">
        <f>SCE_Ds[[#This Row],[Margins ($)]]/SCE_Ds[[#This Row],[With Margins ($)]]</f>
        <v>0</v>
      </c>
    </row>
    <row r="619" spans="1:8" x14ac:dyDescent="0.3">
      <c r="A619">
        <v>331318</v>
      </c>
      <c r="B619" t="s">
        <v>330</v>
      </c>
      <c r="C619" s="33">
        <v>0.7</v>
      </c>
      <c r="D619" s="34">
        <v>2.1000000000000001E-2</v>
      </c>
      <c r="E619" s="33">
        <v>0.72099999999999997</v>
      </c>
      <c r="F619" s="33">
        <f>SCE_Ds[[#This Row],[With Margins ($)]]-SCE_Ds[[#This Row],[ without Margins ( $)]]</f>
        <v>2.1000000000000019E-2</v>
      </c>
      <c r="G619" s="11" t="str">
        <f>IF(E618&lt;0.5,"Low", "High")</f>
        <v>Low</v>
      </c>
      <c r="H619" s="9">
        <f>SCE_Ds[[#This Row],[Margins ($)]]/SCE_Ds[[#This Row],[With Margins ($)]]</f>
        <v>2.9126213592233014E-2</v>
      </c>
    </row>
    <row r="620" spans="1:8" x14ac:dyDescent="0.3">
      <c r="A620">
        <v>311119</v>
      </c>
      <c r="B620" t="s">
        <v>148</v>
      </c>
      <c r="C620" s="33">
        <v>0.42799999999999999</v>
      </c>
      <c r="D620" s="33">
        <v>3.1E-2</v>
      </c>
      <c r="E620" s="33">
        <v>0.45900000000000002</v>
      </c>
      <c r="F620" s="33">
        <f>SCE_Ds[[#This Row],[With Margins ($)]]-SCE_Ds[[#This Row],[ without Margins ( $)]]</f>
        <v>3.1000000000000028E-2</v>
      </c>
      <c r="G620" s="11" t="str">
        <f>IF(E619&lt;0.5,"Low", "High")</f>
        <v>High</v>
      </c>
      <c r="H620" s="9">
        <f>SCE_Ds[[#This Row],[Margins ($)]]/SCE_Ds[[#This Row],[With Margins ($)]]</f>
        <v>6.7538126361655765E-2</v>
      </c>
    </row>
    <row r="621" spans="1:8" x14ac:dyDescent="0.3">
      <c r="A621">
        <v>315190</v>
      </c>
      <c r="B621" t="s">
        <v>213</v>
      </c>
      <c r="C621" s="33">
        <v>0.06</v>
      </c>
      <c r="D621" s="33">
        <v>0.06</v>
      </c>
      <c r="E621" s="33">
        <v>0.12</v>
      </c>
      <c r="F621" s="33">
        <f>SCE_Ds[[#This Row],[With Margins ($)]]-SCE_Ds[[#This Row],[ without Margins ( $)]]</f>
        <v>0.06</v>
      </c>
      <c r="G621" s="11" t="str">
        <f>IF(E620&lt;0.5,"Low", "High")</f>
        <v>Low</v>
      </c>
      <c r="H621" s="9">
        <f>SCE_Ds[[#This Row],[Margins ($)]]/SCE_Ds[[#This Row],[With Margins ($)]]</f>
        <v>0.5</v>
      </c>
    </row>
    <row r="622" spans="1:8" x14ac:dyDescent="0.3">
      <c r="A622">
        <v>112519</v>
      </c>
      <c r="B622" t="s">
        <v>54</v>
      </c>
      <c r="C622" s="33">
        <v>1.077</v>
      </c>
      <c r="D622" s="34">
        <v>5.0999999999999997E-2</v>
      </c>
      <c r="E622" s="33">
        <v>1.1279999999999999</v>
      </c>
      <c r="F622" s="33">
        <f>SCE_Ds[[#This Row],[With Margins ($)]]-SCE_Ds[[#This Row],[ without Margins ( $)]]</f>
        <v>5.0999999999999934E-2</v>
      </c>
      <c r="G622" s="11" t="str">
        <f>IF(E621&lt;0.5,"Low", "High")</f>
        <v>Low</v>
      </c>
      <c r="H622" s="9">
        <f>SCE_Ds[[#This Row],[Margins ($)]]/SCE_Ds[[#This Row],[With Margins ($)]]</f>
        <v>4.5212765957446811E-2</v>
      </c>
    </row>
    <row r="623" spans="1:8" x14ac:dyDescent="0.3">
      <c r="A623">
        <v>811118</v>
      </c>
      <c r="B623" t="s">
        <v>1035</v>
      </c>
      <c r="C623" s="33">
        <v>0.10299999999999999</v>
      </c>
      <c r="D623" s="33">
        <v>0</v>
      </c>
      <c r="E623" s="33">
        <v>0.10299999999999999</v>
      </c>
      <c r="F623" s="33">
        <f>SCE_Ds[[#This Row],[With Margins ($)]]-SCE_Ds[[#This Row],[ without Margins ( $)]]</f>
        <v>0</v>
      </c>
      <c r="G623" s="11" t="str">
        <f>IF(E622&lt;0.5,"Low", "High")</f>
        <v>High</v>
      </c>
      <c r="H623" s="9">
        <f>SCE_Ds[[#This Row],[Margins ($)]]/SCE_Ds[[#This Row],[With Margins ($)]]</f>
        <v>0</v>
      </c>
    </row>
    <row r="624" spans="1:8" x14ac:dyDescent="0.3">
      <c r="A624">
        <v>325180</v>
      </c>
      <c r="B624" t="s">
        <v>261</v>
      </c>
      <c r="C624" s="33">
        <v>0.97399999999999998</v>
      </c>
      <c r="D624" s="33">
        <v>3.5999999999999997E-2</v>
      </c>
      <c r="E624" s="33">
        <v>1.01</v>
      </c>
      <c r="F624" s="33">
        <f>SCE_Ds[[#This Row],[With Margins ($)]]-SCE_Ds[[#This Row],[ without Margins ( $)]]</f>
        <v>3.6000000000000032E-2</v>
      </c>
      <c r="G624" s="11" t="str">
        <f>IF(E623&lt;0.5,"Low", "High")</f>
        <v>Low</v>
      </c>
      <c r="H624" s="9">
        <f>SCE_Ds[[#This Row],[Margins ($)]]/SCE_Ds[[#This Row],[With Margins ($)]]</f>
        <v>3.5643564356435641E-2</v>
      </c>
    </row>
    <row r="625" spans="1:8" x14ac:dyDescent="0.3">
      <c r="A625">
        <v>238290</v>
      </c>
      <c r="B625" t="s">
        <v>138</v>
      </c>
      <c r="C625" s="33">
        <v>0.221</v>
      </c>
      <c r="D625" s="33">
        <v>0</v>
      </c>
      <c r="E625" s="33">
        <v>0.221</v>
      </c>
      <c r="F625" s="33">
        <f>SCE_Ds[[#This Row],[With Margins ($)]]-SCE_Ds[[#This Row],[ without Margins ( $)]]</f>
        <v>0</v>
      </c>
      <c r="G625" s="11" t="str">
        <f>IF(E624&lt;0.5,"Low", "High")</f>
        <v>High</v>
      </c>
      <c r="H625" s="9">
        <f>SCE_Ds[[#This Row],[Margins ($)]]/SCE_Ds[[#This Row],[With Margins ($)]]</f>
        <v>0</v>
      </c>
    </row>
    <row r="626" spans="1:8" x14ac:dyDescent="0.3">
      <c r="A626">
        <v>238390</v>
      </c>
      <c r="B626" t="s">
        <v>144</v>
      </c>
      <c r="C626" s="33">
        <v>0.221</v>
      </c>
      <c r="D626" s="33">
        <v>0</v>
      </c>
      <c r="E626" s="33">
        <v>0.221</v>
      </c>
      <c r="F626" s="33">
        <f>SCE_Ds[[#This Row],[With Margins ($)]]-SCE_Ds[[#This Row],[ without Margins ( $)]]</f>
        <v>0</v>
      </c>
      <c r="G626" s="11" t="str">
        <f>IF(E625&lt;0.5,"Low", "High")</f>
        <v>Low</v>
      </c>
      <c r="H626" s="9">
        <f>SCE_Ds[[#This Row],[Margins ($)]]/SCE_Ds[[#This Row],[With Margins ($)]]</f>
        <v>0</v>
      </c>
    </row>
    <row r="627" spans="1:8" x14ac:dyDescent="0.3">
      <c r="A627">
        <v>444190</v>
      </c>
      <c r="B627" t="s">
        <v>616</v>
      </c>
      <c r="C627" s="33">
        <v>8.6999999999999994E-2</v>
      </c>
      <c r="D627" s="33">
        <v>0</v>
      </c>
      <c r="E627" s="33">
        <v>8.6999999999999994E-2</v>
      </c>
      <c r="F627" s="33">
        <f>SCE_Ds[[#This Row],[With Margins ($)]]-SCE_Ds[[#This Row],[ without Margins ( $)]]</f>
        <v>0</v>
      </c>
      <c r="G627" s="11" t="str">
        <f>IF(E626&lt;0.5,"Low", "High")</f>
        <v>Low</v>
      </c>
      <c r="H627" s="9">
        <f>SCE_Ds[[#This Row],[Margins ($)]]/SCE_Ds[[#This Row],[With Margins ($)]]</f>
        <v>0</v>
      </c>
    </row>
    <row r="628" spans="1:8" x14ac:dyDescent="0.3">
      <c r="A628">
        <v>561439</v>
      </c>
      <c r="B628" t="s">
        <v>895</v>
      </c>
      <c r="C628" s="33">
        <v>0.111</v>
      </c>
      <c r="D628" s="33">
        <v>0</v>
      </c>
      <c r="E628" s="33">
        <v>0.111</v>
      </c>
      <c r="F628" s="33">
        <f>SCE_Ds[[#This Row],[With Margins ($)]]-SCE_Ds[[#This Row],[ without Margins ( $)]]</f>
        <v>0</v>
      </c>
      <c r="G628" s="11" t="str">
        <f>IF(E627&lt;0.5,"Low", "High")</f>
        <v>Low</v>
      </c>
      <c r="H628" s="9">
        <f>SCE_Ds[[#This Row],[Margins ($)]]/SCE_Ds[[#This Row],[With Margins ($)]]</f>
        <v>0</v>
      </c>
    </row>
    <row r="629" spans="1:8" x14ac:dyDescent="0.3">
      <c r="A629">
        <v>424690</v>
      </c>
      <c r="B629" t="s">
        <v>586</v>
      </c>
      <c r="C629" s="33">
        <v>0.14399999999999999</v>
      </c>
      <c r="D629" s="33">
        <v>0</v>
      </c>
      <c r="E629" s="33">
        <v>0.14399999999999999</v>
      </c>
      <c r="F629" s="33">
        <f>SCE_Ds[[#This Row],[With Margins ($)]]-SCE_Ds[[#This Row],[ without Margins ( $)]]</f>
        <v>0</v>
      </c>
      <c r="G629" s="11" t="str">
        <f>IF(E628&lt;0.5,"Low", "High")</f>
        <v>Low</v>
      </c>
      <c r="H629" s="9">
        <f>SCE_Ds[[#This Row],[Margins ($)]]/SCE_Ds[[#This Row],[With Margins ($)]]</f>
        <v>0</v>
      </c>
    </row>
    <row r="630" spans="1:8" x14ac:dyDescent="0.3">
      <c r="A630">
        <v>212393</v>
      </c>
      <c r="B630" t="s">
        <v>97</v>
      </c>
      <c r="C630" s="33">
        <v>0.184</v>
      </c>
      <c r="D630" s="33">
        <v>0.125</v>
      </c>
      <c r="E630" s="33">
        <v>0.309</v>
      </c>
      <c r="F630" s="33">
        <f>SCE_Ds[[#This Row],[With Margins ($)]]-SCE_Ds[[#This Row],[ without Margins ( $)]]</f>
        <v>0.125</v>
      </c>
      <c r="G630" s="11" t="str">
        <f>IF(E629&lt;0.5,"Low", "High")</f>
        <v>Low</v>
      </c>
      <c r="H630" s="9">
        <f>SCE_Ds[[#This Row],[Margins ($)]]/SCE_Ds[[#This Row],[With Margins ($)]]</f>
        <v>0.4045307443365696</v>
      </c>
    </row>
    <row r="631" spans="1:8" x14ac:dyDescent="0.3">
      <c r="A631">
        <v>448190</v>
      </c>
      <c r="B631" t="s">
        <v>640</v>
      </c>
      <c r="C631" s="33">
        <v>0.13800000000000001</v>
      </c>
      <c r="D631" s="33">
        <v>0</v>
      </c>
      <c r="E631" s="33">
        <v>0.13800000000000001</v>
      </c>
      <c r="F631" s="33">
        <f>SCE_Ds[[#This Row],[With Margins ($)]]-SCE_Ds[[#This Row],[ without Margins ( $)]]</f>
        <v>0</v>
      </c>
      <c r="G631" s="11" t="str">
        <f>IF(E630&lt;0.5,"Low", "High")</f>
        <v>Low</v>
      </c>
      <c r="H631" s="9">
        <f>SCE_Ds[[#This Row],[Margins ($)]]/SCE_Ds[[#This Row],[With Margins ($)]]</f>
        <v>0</v>
      </c>
    </row>
    <row r="632" spans="1:8" x14ac:dyDescent="0.3">
      <c r="A632">
        <v>532490</v>
      </c>
      <c r="B632" t="s">
        <v>828</v>
      </c>
      <c r="C632" s="33">
        <v>0.106</v>
      </c>
      <c r="D632" s="33">
        <v>0</v>
      </c>
      <c r="E632" s="33">
        <v>0.106</v>
      </c>
      <c r="F632" s="33">
        <f>SCE_Ds[[#This Row],[With Margins ($)]]-SCE_Ds[[#This Row],[ without Margins ( $)]]</f>
        <v>0</v>
      </c>
      <c r="G632" s="11" t="str">
        <f>IF(E631&lt;0.5,"Low", "High")</f>
        <v>Low</v>
      </c>
      <c r="H632" s="9">
        <f>SCE_Ds[[#This Row],[Margins ($)]]/SCE_Ds[[#This Row],[With Margins ($)]]</f>
        <v>0</v>
      </c>
    </row>
    <row r="633" spans="1:8" x14ac:dyDescent="0.3">
      <c r="A633">
        <v>333318</v>
      </c>
      <c r="B633" t="s">
        <v>393</v>
      </c>
      <c r="C633" s="33">
        <v>0.17100000000000001</v>
      </c>
      <c r="D633" s="33">
        <v>3.4000000000000002E-2</v>
      </c>
      <c r="E633" s="33">
        <v>0.20499999999999999</v>
      </c>
      <c r="F633" s="33">
        <f>SCE_Ds[[#This Row],[With Margins ($)]]-SCE_Ds[[#This Row],[ without Margins ( $)]]</f>
        <v>3.3999999999999975E-2</v>
      </c>
      <c r="G633" s="11" t="str">
        <f>IF(E632&lt;0.5,"Low", "High")</f>
        <v>Low</v>
      </c>
      <c r="H633" s="9">
        <f>SCE_Ds[[#This Row],[Margins ($)]]/SCE_Ds[[#This Row],[With Margins ($)]]</f>
        <v>0.16585365853658537</v>
      </c>
    </row>
    <row r="634" spans="1:8" x14ac:dyDescent="0.3">
      <c r="A634">
        <v>423440</v>
      </c>
      <c r="B634" t="s">
        <v>540</v>
      </c>
      <c r="C634" s="33">
        <v>7.3999999999999996E-2</v>
      </c>
      <c r="D634" s="33">
        <v>0</v>
      </c>
      <c r="E634" s="33">
        <v>7.3999999999999996E-2</v>
      </c>
      <c r="F634" s="33">
        <f>SCE_Ds[[#This Row],[With Margins ($)]]-SCE_Ds[[#This Row],[ without Margins ( $)]]</f>
        <v>0</v>
      </c>
      <c r="G634" s="11" t="str">
        <f>IF(E633&lt;0.5,"Low", "High")</f>
        <v>Low</v>
      </c>
      <c r="H634" s="9">
        <f>SCE_Ds[[#This Row],[Margins ($)]]/SCE_Ds[[#This Row],[With Margins ($)]]</f>
        <v>0</v>
      </c>
    </row>
    <row r="635" spans="1:8" x14ac:dyDescent="0.3">
      <c r="A635">
        <v>335929</v>
      </c>
      <c r="B635" t="s">
        <v>462</v>
      </c>
      <c r="C635" s="33">
        <v>0.219</v>
      </c>
      <c r="D635" s="33">
        <v>1.6E-2</v>
      </c>
      <c r="E635" s="33">
        <v>0.23499999999999999</v>
      </c>
      <c r="F635" s="33">
        <f>SCE_Ds[[#This Row],[With Margins ($)]]-SCE_Ds[[#This Row],[ without Margins ( $)]]</f>
        <v>1.5999999999999986E-2</v>
      </c>
      <c r="G635" s="11" t="str">
        <f>IF(E634&lt;0.5,"Low", "High")</f>
        <v>Low</v>
      </c>
      <c r="H635" s="9">
        <f>SCE_Ds[[#This Row],[Margins ($)]]/SCE_Ds[[#This Row],[With Margins ($)]]</f>
        <v>6.8085106382978725E-2</v>
      </c>
    </row>
    <row r="636" spans="1:8" x14ac:dyDescent="0.3">
      <c r="A636">
        <v>334290</v>
      </c>
      <c r="B636" t="s">
        <v>428</v>
      </c>
      <c r="C636" s="33">
        <v>3.7999999999999999E-2</v>
      </c>
      <c r="D636" s="33">
        <v>4.2000000000000003E-2</v>
      </c>
      <c r="E636" s="33">
        <v>0.08</v>
      </c>
      <c r="F636" s="33">
        <f>SCE_Ds[[#This Row],[With Margins ($)]]-SCE_Ds[[#This Row],[ without Margins ( $)]]</f>
        <v>4.2000000000000003E-2</v>
      </c>
      <c r="G636" s="11" t="str">
        <f>IF(E635&lt;0.5,"Low", "High")</f>
        <v>Low</v>
      </c>
      <c r="H636" s="9">
        <f>SCE_Ds[[#This Row],[Margins ($)]]/SCE_Ds[[#This Row],[With Margins ($)]]</f>
        <v>0.52500000000000002</v>
      </c>
    </row>
    <row r="637" spans="1:8" x14ac:dyDescent="0.3">
      <c r="A637">
        <v>624229</v>
      </c>
      <c r="B637" t="s">
        <v>986</v>
      </c>
      <c r="C637" s="33">
        <v>0.217</v>
      </c>
      <c r="D637" s="33">
        <v>0</v>
      </c>
      <c r="E637" s="33">
        <v>0.217</v>
      </c>
      <c r="F637" s="33">
        <f>SCE_Ds[[#This Row],[With Margins ($)]]-SCE_Ds[[#This Row],[ without Margins ( $)]]</f>
        <v>0</v>
      </c>
      <c r="G637" s="11" t="str">
        <f>IF(E636&lt;0.5,"Low", "High")</f>
        <v>Low</v>
      </c>
      <c r="H637" s="9">
        <f>SCE_Ds[[#This Row],[Margins ($)]]/SCE_Ds[[#This Row],[With Margins ($)]]</f>
        <v>0</v>
      </c>
    </row>
    <row r="638" spans="1:8" x14ac:dyDescent="0.3">
      <c r="A638">
        <v>541519</v>
      </c>
      <c r="B638" t="s">
        <v>854</v>
      </c>
      <c r="C638" s="33">
        <v>0.08</v>
      </c>
      <c r="D638" s="33">
        <v>0</v>
      </c>
      <c r="E638" s="33">
        <v>0.08</v>
      </c>
      <c r="F638" s="33">
        <f>SCE_Ds[[#This Row],[With Margins ($)]]-SCE_Ds[[#This Row],[ without Margins ( $)]]</f>
        <v>0</v>
      </c>
      <c r="G638" s="11" t="str">
        <f>IF(E637&lt;0.5,"Low", "High")</f>
        <v>Low</v>
      </c>
      <c r="H638" s="9">
        <f>SCE_Ds[[#This Row],[Margins ($)]]/SCE_Ds[[#This Row],[With Margins ($)]]</f>
        <v>0</v>
      </c>
    </row>
    <row r="639" spans="1:8" x14ac:dyDescent="0.3">
      <c r="A639">
        <v>327390</v>
      </c>
      <c r="B639" t="s">
        <v>315</v>
      </c>
      <c r="C639" s="33">
        <v>0.26700000000000002</v>
      </c>
      <c r="D639" s="33">
        <v>0.05</v>
      </c>
      <c r="E639" s="33">
        <v>0.317</v>
      </c>
      <c r="F639" s="33">
        <f>SCE_Ds[[#This Row],[With Margins ($)]]-SCE_Ds[[#This Row],[ without Margins ( $)]]</f>
        <v>4.9999999999999989E-2</v>
      </c>
      <c r="G639" s="11" t="str">
        <f>IF(E638&lt;0.5,"Low", "High")</f>
        <v>Low</v>
      </c>
      <c r="H639" s="9">
        <f>SCE_Ds[[#This Row],[Margins ($)]]/SCE_Ds[[#This Row],[With Margins ($)]]</f>
        <v>0.1577287066246057</v>
      </c>
    </row>
    <row r="640" spans="1:8" x14ac:dyDescent="0.3">
      <c r="A640">
        <v>423390</v>
      </c>
      <c r="B640" t="s">
        <v>536</v>
      </c>
      <c r="C640" s="33">
        <v>0.108</v>
      </c>
      <c r="D640" s="33">
        <v>0</v>
      </c>
      <c r="E640" s="33">
        <v>0.108</v>
      </c>
      <c r="F640" s="33">
        <f>SCE_Ds[[#This Row],[With Margins ($)]]-SCE_Ds[[#This Row],[ without Margins ( $)]]</f>
        <v>0</v>
      </c>
      <c r="G640" s="11" t="str">
        <f>IF(E639&lt;0.5,"Low", "High")</f>
        <v>Low</v>
      </c>
      <c r="H640" s="9">
        <f>SCE_Ds[[#This Row],[Margins ($)]]/SCE_Ds[[#This Row],[With Margins ($)]]</f>
        <v>0</v>
      </c>
    </row>
    <row r="641" spans="1:8" x14ac:dyDescent="0.3">
      <c r="A641">
        <v>212319</v>
      </c>
      <c r="B641" t="s">
        <v>89</v>
      </c>
      <c r="C641" s="33">
        <v>0.193</v>
      </c>
      <c r="D641" s="33">
        <v>8.5999999999999993E-2</v>
      </c>
      <c r="E641" s="33">
        <v>0.27900000000000003</v>
      </c>
      <c r="F641" s="33">
        <f>SCE_Ds[[#This Row],[With Margins ($)]]-SCE_Ds[[#This Row],[ without Margins ( $)]]</f>
        <v>8.6000000000000021E-2</v>
      </c>
      <c r="G641" s="11" t="str">
        <f>IF(E640&lt;0.5,"Low", "High")</f>
        <v>Low</v>
      </c>
      <c r="H641" s="9">
        <f>SCE_Ds[[#This Row],[Margins ($)]]/SCE_Ds[[#This Row],[With Margins ($)]]</f>
        <v>0.30824372759856628</v>
      </c>
    </row>
    <row r="642" spans="1:8" x14ac:dyDescent="0.3">
      <c r="A642">
        <v>315280</v>
      </c>
      <c r="B642" t="s">
        <v>217</v>
      </c>
      <c r="C642" s="33">
        <v>0.06</v>
      </c>
      <c r="D642" s="33">
        <v>0.06</v>
      </c>
      <c r="E642" s="33">
        <v>0.12</v>
      </c>
      <c r="F642" s="33">
        <f>SCE_Ds[[#This Row],[With Margins ($)]]-SCE_Ds[[#This Row],[ without Margins ( $)]]</f>
        <v>0.06</v>
      </c>
      <c r="G642" s="11" t="str">
        <f>IF(E641&lt;0.5,"Low", "High")</f>
        <v>Low</v>
      </c>
      <c r="H642" s="9">
        <f>SCE_Ds[[#This Row],[Margins ($)]]/SCE_Ds[[#This Row],[With Margins ($)]]</f>
        <v>0.5</v>
      </c>
    </row>
    <row r="643" spans="1:8" x14ac:dyDescent="0.3">
      <c r="A643">
        <v>522190</v>
      </c>
      <c r="B643" t="s">
        <v>763</v>
      </c>
      <c r="C643" s="33">
        <v>5.8999999999999997E-2</v>
      </c>
      <c r="D643" s="33">
        <v>0</v>
      </c>
      <c r="E643" s="33">
        <v>5.8999999999999997E-2</v>
      </c>
      <c r="F643" s="33">
        <f>SCE_Ds[[#This Row],[With Margins ($)]]-SCE_Ds[[#This Row],[ without Margins ( $)]]</f>
        <v>0</v>
      </c>
      <c r="G643" s="11" t="str">
        <f>IF(E642&lt;0.5,"Low", "High")</f>
        <v>Low</v>
      </c>
      <c r="H643" s="9">
        <f>SCE_Ds[[#This Row],[Margins ($)]]/SCE_Ds[[#This Row],[With Margins ($)]]</f>
        <v>0</v>
      </c>
    </row>
    <row r="644" spans="1:8" x14ac:dyDescent="0.3">
      <c r="A644">
        <v>524128</v>
      </c>
      <c r="B644" t="s">
        <v>791</v>
      </c>
      <c r="C644" s="33">
        <v>3.3000000000000002E-2</v>
      </c>
      <c r="D644" s="33">
        <v>0</v>
      </c>
      <c r="E644" s="33">
        <v>3.3000000000000002E-2</v>
      </c>
      <c r="F644" s="33">
        <f>SCE_Ds[[#This Row],[With Margins ($)]]-SCE_Ds[[#This Row],[ without Margins ( $)]]</f>
        <v>0</v>
      </c>
      <c r="G644" s="11" t="str">
        <f>IF(E643&lt;0.5,"Low", "High")</f>
        <v>Low</v>
      </c>
      <c r="H644" s="9">
        <f>SCE_Ds[[#This Row],[Margins ($)]]/SCE_Ds[[#This Row],[With Margins ($)]]</f>
        <v>0</v>
      </c>
    </row>
    <row r="645" spans="1:8" x14ac:dyDescent="0.3">
      <c r="A645">
        <v>454390</v>
      </c>
      <c r="B645" t="s">
        <v>665</v>
      </c>
      <c r="C645" s="33">
        <v>9.4E-2</v>
      </c>
      <c r="D645" s="33">
        <v>0</v>
      </c>
      <c r="E645" s="33">
        <v>9.4E-2</v>
      </c>
      <c r="F645" s="33">
        <f>SCE_Ds[[#This Row],[With Margins ($)]]-SCE_Ds[[#This Row],[ without Margins ( $)]]</f>
        <v>0</v>
      </c>
      <c r="G645" s="11" t="str">
        <f>IF(E644&lt;0.5,"Low", "High")</f>
        <v>Low</v>
      </c>
      <c r="H645" s="9">
        <f>SCE_Ds[[#This Row],[Margins ($)]]/SCE_Ds[[#This Row],[With Margins ($)]]</f>
        <v>0</v>
      </c>
    </row>
    <row r="646" spans="1:8" x14ac:dyDescent="0.3">
      <c r="A646">
        <v>811219</v>
      </c>
      <c r="B646" t="s">
        <v>1044</v>
      </c>
      <c r="C646" s="33">
        <v>7.5999999999999998E-2</v>
      </c>
      <c r="D646" s="33">
        <v>0</v>
      </c>
      <c r="E646" s="33">
        <v>7.5999999999999998E-2</v>
      </c>
      <c r="F646" s="33">
        <f>SCE_Ds[[#This Row],[With Margins ($)]]-SCE_Ds[[#This Row],[ without Margins ( $)]]</f>
        <v>0</v>
      </c>
      <c r="G646" s="11" t="str">
        <f>IF(E645&lt;0.5,"Low", "High")</f>
        <v>Low</v>
      </c>
      <c r="H646" s="9">
        <f>SCE_Ds[[#This Row],[Margins ($)]]/SCE_Ds[[#This Row],[With Margins ($)]]</f>
        <v>0</v>
      </c>
    </row>
    <row r="647" spans="1:8" x14ac:dyDescent="0.3">
      <c r="A647">
        <v>334419</v>
      </c>
      <c r="B647" t="s">
        <v>436</v>
      </c>
      <c r="C647" s="33">
        <v>0.08</v>
      </c>
      <c r="D647" s="33">
        <v>1.9E-2</v>
      </c>
      <c r="E647" s="33">
        <v>9.8000000000000004E-2</v>
      </c>
      <c r="F647" s="33">
        <f>SCE_Ds[[#This Row],[With Margins ($)]]-SCE_Ds[[#This Row],[ without Margins ( $)]]</f>
        <v>1.8000000000000002E-2</v>
      </c>
      <c r="G647" s="11" t="str">
        <f>IF(E646&lt;0.5,"Low", "High")</f>
        <v>Low</v>
      </c>
      <c r="H647" s="9">
        <f>SCE_Ds[[#This Row],[Margins ($)]]/SCE_Ds[[#This Row],[With Margins ($)]]</f>
        <v>0.19387755102040816</v>
      </c>
    </row>
    <row r="648" spans="1:8" x14ac:dyDescent="0.3">
      <c r="A648">
        <v>423690</v>
      </c>
      <c r="B648" t="s">
        <v>548</v>
      </c>
      <c r="C648" s="33">
        <v>8.3000000000000004E-2</v>
      </c>
      <c r="D648" s="33">
        <v>0</v>
      </c>
      <c r="E648" s="33">
        <v>8.3000000000000004E-2</v>
      </c>
      <c r="F648" s="33">
        <f>SCE_Ds[[#This Row],[With Margins ($)]]-SCE_Ds[[#This Row],[ without Margins ( $)]]</f>
        <v>0</v>
      </c>
      <c r="G648" s="11" t="str">
        <f>IF(E647&lt;0.5,"Low", "High")</f>
        <v>Low</v>
      </c>
      <c r="H648" s="9">
        <f>SCE_Ds[[#This Row],[Margins ($)]]/SCE_Ds[[#This Row],[With Margins ($)]]</f>
        <v>0</v>
      </c>
    </row>
    <row r="649" spans="1:8" x14ac:dyDescent="0.3">
      <c r="A649">
        <v>333618</v>
      </c>
      <c r="B649" t="s">
        <v>406</v>
      </c>
      <c r="C649" s="33">
        <v>0.27300000000000002</v>
      </c>
      <c r="D649" s="33">
        <v>2.4E-2</v>
      </c>
      <c r="E649" s="33">
        <v>0.29699999999999999</v>
      </c>
      <c r="F649" s="33">
        <f>SCE_Ds[[#This Row],[With Margins ($)]]-SCE_Ds[[#This Row],[ without Margins ( $)]]</f>
        <v>2.3999999999999966E-2</v>
      </c>
      <c r="G649" s="11" t="str">
        <f>IF(E648&lt;0.5,"Low", "High")</f>
        <v>Low</v>
      </c>
      <c r="H649" s="9">
        <f>SCE_Ds[[#This Row],[Margins ($)]]/SCE_Ds[[#This Row],[With Margins ($)]]</f>
        <v>8.0808080808080815E-2</v>
      </c>
    </row>
    <row r="650" spans="1:8" x14ac:dyDescent="0.3">
      <c r="A650">
        <v>332618</v>
      </c>
      <c r="B650" t="s">
        <v>361</v>
      </c>
      <c r="C650" s="33">
        <v>0.219</v>
      </c>
      <c r="D650" s="33">
        <v>1.4E-2</v>
      </c>
      <c r="E650" s="33">
        <v>0.23300000000000001</v>
      </c>
      <c r="F650" s="33">
        <f>SCE_Ds[[#This Row],[With Margins ($)]]-SCE_Ds[[#This Row],[ without Margins ( $)]]</f>
        <v>1.4000000000000012E-2</v>
      </c>
      <c r="G650" s="11" t="str">
        <f>IF(E649&lt;0.5,"Low", "High")</f>
        <v>Low</v>
      </c>
      <c r="H650" s="9">
        <f>SCE_Ds[[#This Row],[Margins ($)]]/SCE_Ds[[#This Row],[With Margins ($)]]</f>
        <v>6.0085836909871244E-2</v>
      </c>
    </row>
    <row r="651" spans="1:8" x14ac:dyDescent="0.3">
      <c r="A651">
        <v>424590</v>
      </c>
      <c r="B651" t="s">
        <v>584</v>
      </c>
      <c r="C651" s="33">
        <v>0.14399999999999999</v>
      </c>
      <c r="D651" s="33">
        <v>0</v>
      </c>
      <c r="E651" s="33">
        <v>0.14399999999999999</v>
      </c>
      <c r="F651" s="33">
        <f>SCE_Ds[[#This Row],[With Margins ($)]]-SCE_Ds[[#This Row],[ without Margins ( $)]]</f>
        <v>0</v>
      </c>
      <c r="G651" s="11" t="str">
        <f>IF(E650&lt;0.5,"Low", "High")</f>
        <v>Low</v>
      </c>
      <c r="H651" s="9">
        <f>SCE_Ds[[#This Row],[Margins ($)]]/SCE_Ds[[#This Row],[With Margins ($)]]</f>
        <v>0</v>
      </c>
    </row>
    <row r="652" spans="1:8" x14ac:dyDescent="0.3">
      <c r="A652">
        <v>525990</v>
      </c>
      <c r="B652" t="s">
        <v>802</v>
      </c>
      <c r="C652" s="33">
        <v>0.218</v>
      </c>
      <c r="D652" s="33">
        <v>0</v>
      </c>
      <c r="E652" s="33">
        <v>0.218</v>
      </c>
      <c r="F652" s="33">
        <f>SCE_Ds[[#This Row],[With Margins ($)]]-SCE_Ds[[#This Row],[ without Margins ( $)]]</f>
        <v>0</v>
      </c>
      <c r="G652" s="11" t="str">
        <f>IF(E651&lt;0.5,"Low", "High")</f>
        <v>Low</v>
      </c>
      <c r="H652" s="9">
        <f>SCE_Ds[[#This Row],[Margins ($)]]/SCE_Ds[[#This Row],[With Margins ($)]]</f>
        <v>0</v>
      </c>
    </row>
    <row r="653" spans="1:8" x14ac:dyDescent="0.3">
      <c r="A653">
        <v>111419</v>
      </c>
      <c r="B653" t="s">
        <v>28</v>
      </c>
      <c r="C653" s="33">
        <v>0.26600000000000001</v>
      </c>
      <c r="D653" s="33">
        <v>4.1000000000000002E-2</v>
      </c>
      <c r="E653" s="33">
        <v>0.307</v>
      </c>
      <c r="F653" s="33">
        <f>SCE_Ds[[#This Row],[With Margins ($)]]-SCE_Ds[[#This Row],[ without Margins ( $)]]</f>
        <v>4.0999999999999981E-2</v>
      </c>
      <c r="G653" s="11" t="str">
        <f>IF(E652&lt;0.5,"Low", "High")</f>
        <v>Low</v>
      </c>
      <c r="H653" s="9">
        <f>SCE_Ds[[#This Row],[Margins ($)]]/SCE_Ds[[#This Row],[With Margins ($)]]</f>
        <v>0.13355048859934854</v>
      </c>
    </row>
    <row r="654" spans="1:8" x14ac:dyDescent="0.3">
      <c r="A654">
        <v>238190</v>
      </c>
      <c r="B654" t="s">
        <v>135</v>
      </c>
      <c r="C654" s="33">
        <v>0.221</v>
      </c>
      <c r="D654" s="33">
        <v>0</v>
      </c>
      <c r="E654" s="33">
        <v>0.221</v>
      </c>
      <c r="F654" s="33">
        <f>SCE_Ds[[#This Row],[With Margins ($)]]-SCE_Ds[[#This Row],[ without Margins ( $)]]</f>
        <v>0</v>
      </c>
      <c r="G654" s="11" t="str">
        <f>IF(E653&lt;0.5,"Low", "High")</f>
        <v>Low</v>
      </c>
      <c r="H654" s="9">
        <f>SCE_Ds[[#This Row],[Margins ($)]]/SCE_Ds[[#This Row],[With Margins ($)]]</f>
        <v>0</v>
      </c>
    </row>
    <row r="655" spans="1:8" x14ac:dyDescent="0.3">
      <c r="A655">
        <v>713290</v>
      </c>
      <c r="B655" t="s">
        <v>1009</v>
      </c>
      <c r="C655" s="33">
        <v>0.17399999999999999</v>
      </c>
      <c r="D655" s="33">
        <v>0</v>
      </c>
      <c r="E655" s="33">
        <v>0.17399999999999999</v>
      </c>
      <c r="F655" s="33">
        <f>SCE_Ds[[#This Row],[With Margins ($)]]-SCE_Ds[[#This Row],[ without Margins ( $)]]</f>
        <v>0</v>
      </c>
      <c r="G655" s="11" t="str">
        <f>IF(E654&lt;0.5,"Low", "High")</f>
        <v>Low</v>
      </c>
      <c r="H655" s="9">
        <f>SCE_Ds[[#This Row],[Margins ($)]]/SCE_Ds[[#This Row],[With Margins ($)]]</f>
        <v>0</v>
      </c>
    </row>
    <row r="656" spans="1:8" x14ac:dyDescent="0.3">
      <c r="A656">
        <v>447190</v>
      </c>
      <c r="B656" t="s">
        <v>634</v>
      </c>
      <c r="C656" s="33">
        <v>0.183</v>
      </c>
      <c r="D656" s="33">
        <v>0</v>
      </c>
      <c r="E656" s="33">
        <v>0.183</v>
      </c>
      <c r="F656" s="33">
        <f>SCE_Ds[[#This Row],[With Margins ($)]]-SCE_Ds[[#This Row],[ without Margins ( $)]]</f>
        <v>0</v>
      </c>
      <c r="G656" s="11" t="str">
        <f>IF(E655&lt;0.5,"Low", "High")</f>
        <v>Low</v>
      </c>
      <c r="H656" s="9">
        <f>SCE_Ds[[#This Row],[Margins ($)]]/SCE_Ds[[#This Row],[With Margins ($)]]</f>
        <v>0</v>
      </c>
    </row>
    <row r="657" spans="1:8" x14ac:dyDescent="0.3">
      <c r="A657">
        <v>813219</v>
      </c>
      <c r="B657" t="s">
        <v>1071</v>
      </c>
      <c r="C657" s="33">
        <v>5.8999999999999997E-2</v>
      </c>
      <c r="D657" s="33">
        <v>0</v>
      </c>
      <c r="E657" s="33">
        <v>5.8999999999999997E-2</v>
      </c>
      <c r="F657" s="33">
        <f>SCE_Ds[[#This Row],[With Margins ($)]]-SCE_Ds[[#This Row],[ without Margins ( $)]]</f>
        <v>0</v>
      </c>
      <c r="G657" s="11" t="str">
        <f>IF(E656&lt;0.5,"Low", "High")</f>
        <v>Low</v>
      </c>
      <c r="H657" s="9">
        <f>SCE_Ds[[#This Row],[Margins ($)]]/SCE_Ds[[#This Row],[With Margins ($)]]</f>
        <v>0</v>
      </c>
    </row>
    <row r="658" spans="1:8" x14ac:dyDescent="0.3">
      <c r="A658">
        <v>424490</v>
      </c>
      <c r="B658" t="s">
        <v>581</v>
      </c>
      <c r="C658" s="33">
        <v>0.159</v>
      </c>
      <c r="D658" s="33">
        <v>0</v>
      </c>
      <c r="E658" s="33">
        <v>0.159</v>
      </c>
      <c r="F658" s="33">
        <f>SCE_Ds[[#This Row],[With Margins ($)]]-SCE_Ds[[#This Row],[ without Margins ( $)]]</f>
        <v>0</v>
      </c>
      <c r="G658" s="11" t="str">
        <f>IF(E657&lt;0.5,"Low", "High")</f>
        <v>Low</v>
      </c>
      <c r="H658" s="9">
        <f>SCE_Ds[[#This Row],[Margins ($)]]/SCE_Ds[[#This Row],[With Margins ($)]]</f>
        <v>0</v>
      </c>
    </row>
    <row r="659" spans="1:8" x14ac:dyDescent="0.3">
      <c r="A659">
        <v>336419</v>
      </c>
      <c r="B659" t="s">
        <v>489</v>
      </c>
      <c r="C659" s="33">
        <v>0.28599999999999998</v>
      </c>
      <c r="D659" s="33">
        <v>7.0000000000000001E-3</v>
      </c>
      <c r="E659" s="33">
        <v>0.29399999999999998</v>
      </c>
      <c r="F659" s="33">
        <f>SCE_Ds[[#This Row],[With Margins ($)]]-SCE_Ds[[#This Row],[ without Margins ( $)]]</f>
        <v>8.0000000000000071E-3</v>
      </c>
      <c r="G659" s="11" t="str">
        <f>IF(E658&lt;0.5,"Low", "High")</f>
        <v>Low</v>
      </c>
      <c r="H659" s="9">
        <f>SCE_Ds[[#This Row],[Margins ($)]]/SCE_Ds[[#This Row],[With Margins ($)]]</f>
        <v>2.3809523809523812E-2</v>
      </c>
    </row>
    <row r="660" spans="1:8" x14ac:dyDescent="0.3">
      <c r="A660">
        <v>237990</v>
      </c>
      <c r="B660" t="s">
        <v>125</v>
      </c>
      <c r="C660" s="33">
        <v>0.20200000000000001</v>
      </c>
      <c r="D660" s="33">
        <v>0</v>
      </c>
      <c r="E660" s="33">
        <v>0.20200000000000001</v>
      </c>
      <c r="F660" s="33">
        <f>SCE_Ds[[#This Row],[With Margins ($)]]-SCE_Ds[[#This Row],[ without Margins ( $)]]</f>
        <v>0</v>
      </c>
      <c r="G660" s="11" t="str">
        <f>IF(E659&lt;0.5,"Low", "High")</f>
        <v>Low</v>
      </c>
      <c r="H660" s="9">
        <f>SCE_Ds[[#This Row],[Margins ($)]]/SCE_Ds[[#This Row],[With Margins ($)]]</f>
        <v>0</v>
      </c>
    </row>
    <row r="661" spans="1:8" x14ac:dyDescent="0.3">
      <c r="A661">
        <v>624190</v>
      </c>
      <c r="B661" t="s">
        <v>982</v>
      </c>
      <c r="C661" s="33">
        <v>0.11799999999999999</v>
      </c>
      <c r="D661" s="33">
        <v>0</v>
      </c>
      <c r="E661" s="33">
        <v>0.11799999999999999</v>
      </c>
      <c r="F661" s="33">
        <f>SCE_Ds[[#This Row],[With Margins ($)]]-SCE_Ds[[#This Row],[ without Margins ( $)]]</f>
        <v>0</v>
      </c>
      <c r="G661" s="11" t="str">
        <f>IF(E660&lt;0.5,"Low", "High")</f>
        <v>Low</v>
      </c>
      <c r="H661" s="9">
        <f>SCE_Ds[[#This Row],[Margins ($)]]/SCE_Ds[[#This Row],[With Margins ($)]]</f>
        <v>0</v>
      </c>
    </row>
    <row r="662" spans="1:8" x14ac:dyDescent="0.3">
      <c r="A662">
        <v>333249</v>
      </c>
      <c r="B662" t="s">
        <v>390</v>
      </c>
      <c r="C662" s="33">
        <v>0.16600000000000001</v>
      </c>
      <c r="D662" s="33">
        <v>1.9E-2</v>
      </c>
      <c r="E662" s="33">
        <v>0.185</v>
      </c>
      <c r="F662" s="33">
        <f>SCE_Ds[[#This Row],[With Margins ($)]]-SCE_Ds[[#This Row],[ without Margins ( $)]]</f>
        <v>1.8999999999999989E-2</v>
      </c>
      <c r="G662" s="11" t="str">
        <f>IF(E661&lt;0.5,"Low", "High")</f>
        <v>Low</v>
      </c>
      <c r="H662" s="9">
        <f>SCE_Ds[[#This Row],[Margins ($)]]/SCE_Ds[[#This Row],[With Margins ($)]]</f>
        <v>0.10270270270270269</v>
      </c>
    </row>
    <row r="663" spans="1:8" x14ac:dyDescent="0.3">
      <c r="A663">
        <v>525190</v>
      </c>
      <c r="B663" t="s">
        <v>799</v>
      </c>
      <c r="C663" s="33">
        <v>0.218</v>
      </c>
      <c r="D663" s="33">
        <v>0</v>
      </c>
      <c r="E663" s="33">
        <v>0.218</v>
      </c>
      <c r="F663" s="33">
        <f>SCE_Ds[[#This Row],[With Margins ($)]]-SCE_Ds[[#This Row],[ without Margins ( $)]]</f>
        <v>0</v>
      </c>
      <c r="G663" s="11" t="str">
        <f>IF(E662&lt;0.5,"Low", "High")</f>
        <v>Low</v>
      </c>
      <c r="H663" s="9">
        <f>SCE_Ds[[#This Row],[Margins ($)]]/SCE_Ds[[#This Row],[With Margins ($)]]</f>
        <v>0</v>
      </c>
    </row>
    <row r="664" spans="1:8" x14ac:dyDescent="0.3">
      <c r="A664">
        <v>335129</v>
      </c>
      <c r="B664" t="s">
        <v>452</v>
      </c>
      <c r="C664" s="33">
        <v>0.13800000000000001</v>
      </c>
      <c r="D664" s="33">
        <v>4.7E-2</v>
      </c>
      <c r="E664" s="33">
        <v>0.185</v>
      </c>
      <c r="F664" s="33">
        <f>SCE_Ds[[#This Row],[With Margins ($)]]-SCE_Ds[[#This Row],[ without Margins ( $)]]</f>
        <v>4.6999999999999986E-2</v>
      </c>
      <c r="G664" s="11" t="str">
        <f>IF(E663&lt;0.5,"Low", "High")</f>
        <v>Low</v>
      </c>
      <c r="H664" s="9">
        <f>SCE_Ds[[#This Row],[Margins ($)]]/SCE_Ds[[#This Row],[With Margins ($)]]</f>
        <v>0.25405405405405407</v>
      </c>
    </row>
    <row r="665" spans="1:8" x14ac:dyDescent="0.3">
      <c r="A665">
        <v>541618</v>
      </c>
      <c r="B665" t="s">
        <v>859</v>
      </c>
      <c r="C665" s="33">
        <v>7.8E-2</v>
      </c>
      <c r="D665" s="33">
        <v>0</v>
      </c>
      <c r="E665" s="33">
        <v>7.8E-2</v>
      </c>
      <c r="F665" s="33">
        <f>SCE_Ds[[#This Row],[With Margins ($)]]-SCE_Ds[[#This Row],[ without Margins ( $)]]</f>
        <v>0</v>
      </c>
      <c r="G665" s="11" t="str">
        <f>IF(E664&lt;0.5,"Low", "High")</f>
        <v>Low</v>
      </c>
      <c r="H665" s="9">
        <f>SCE_Ds[[#This Row],[Margins ($)]]/SCE_Ds[[#This Row],[With Margins ($)]]</f>
        <v>0</v>
      </c>
    </row>
    <row r="666" spans="1:8" x14ac:dyDescent="0.3">
      <c r="A666">
        <v>114119</v>
      </c>
      <c r="B666" t="s">
        <v>64</v>
      </c>
      <c r="C666" s="33">
        <v>0.127</v>
      </c>
      <c r="D666" s="33">
        <v>2.7E-2</v>
      </c>
      <c r="E666" s="33">
        <v>0.154</v>
      </c>
      <c r="F666" s="33">
        <f>SCE_Ds[[#This Row],[With Margins ($)]]-SCE_Ds[[#This Row],[ without Margins ( $)]]</f>
        <v>2.6999999999999996E-2</v>
      </c>
      <c r="G666" s="11" t="str">
        <f>IF(E665&lt;0.5,"Low", "High")</f>
        <v>Low</v>
      </c>
      <c r="H666" s="9">
        <f>SCE_Ds[[#This Row],[Margins ($)]]/SCE_Ds[[#This Row],[With Margins ($)]]</f>
        <v>0.17532467532467533</v>
      </c>
    </row>
    <row r="667" spans="1:8" x14ac:dyDescent="0.3">
      <c r="A667">
        <v>334519</v>
      </c>
      <c r="B667" t="s">
        <v>445</v>
      </c>
      <c r="C667" s="33">
        <v>4.3999999999999997E-2</v>
      </c>
      <c r="D667" s="33">
        <v>4.2000000000000003E-2</v>
      </c>
      <c r="E667" s="33">
        <v>8.6999999999999994E-2</v>
      </c>
      <c r="F667" s="33">
        <f>SCE_Ds[[#This Row],[With Margins ($)]]-SCE_Ds[[#This Row],[ without Margins ( $)]]</f>
        <v>4.2999999999999997E-2</v>
      </c>
      <c r="G667" s="11" t="str">
        <f>IF(E666&lt;0.5,"Low", "High")</f>
        <v>Low</v>
      </c>
      <c r="H667" s="9">
        <f>SCE_Ds[[#This Row],[Margins ($)]]/SCE_Ds[[#This Row],[With Margins ($)]]</f>
        <v>0.48275862068965525</v>
      </c>
    </row>
    <row r="668" spans="1:8" x14ac:dyDescent="0.3">
      <c r="A668">
        <v>332439</v>
      </c>
      <c r="B668" t="s">
        <v>358</v>
      </c>
      <c r="C668" s="33">
        <v>0.30199999999999999</v>
      </c>
      <c r="D668" s="33">
        <v>1.6E-2</v>
      </c>
      <c r="E668" s="33">
        <v>0.318</v>
      </c>
      <c r="F668" s="33">
        <f>SCE_Ds[[#This Row],[With Margins ($)]]-SCE_Ds[[#This Row],[ without Margins ( $)]]</f>
        <v>1.6000000000000014E-2</v>
      </c>
      <c r="G668" s="11" t="str">
        <f>IF(E667&lt;0.5,"Low", "High")</f>
        <v>Low</v>
      </c>
      <c r="H668" s="9">
        <f>SCE_Ds[[#This Row],[Margins ($)]]/SCE_Ds[[#This Row],[With Margins ($)]]</f>
        <v>5.0314465408805034E-2</v>
      </c>
    </row>
    <row r="669" spans="1:8" x14ac:dyDescent="0.3">
      <c r="A669">
        <v>332919</v>
      </c>
      <c r="B669" t="s">
        <v>372</v>
      </c>
      <c r="C669" s="33">
        <v>0.14599999999999999</v>
      </c>
      <c r="D669" s="33">
        <v>2.7E-2</v>
      </c>
      <c r="E669" s="33">
        <v>0.17299999999999999</v>
      </c>
      <c r="F669" s="33">
        <f>SCE_Ds[[#This Row],[With Margins ($)]]-SCE_Ds[[#This Row],[ without Margins ( $)]]</f>
        <v>2.6999999999999996E-2</v>
      </c>
      <c r="G669" s="11" t="str">
        <f>IF(E668&lt;0.5,"Low", "High")</f>
        <v>Low</v>
      </c>
      <c r="H669" s="9">
        <f>SCE_Ds[[#This Row],[Margins ($)]]/SCE_Ds[[#This Row],[With Margins ($)]]</f>
        <v>0.15606936416184972</v>
      </c>
    </row>
    <row r="670" spans="1:8" x14ac:dyDescent="0.3">
      <c r="A670">
        <v>321918</v>
      </c>
      <c r="B670" t="s">
        <v>232</v>
      </c>
      <c r="C670" s="33">
        <v>0.122</v>
      </c>
      <c r="D670" s="33">
        <v>3.1E-2</v>
      </c>
      <c r="E670" s="33">
        <v>0.154</v>
      </c>
      <c r="F670" s="33">
        <f>SCE_Ds[[#This Row],[With Margins ($)]]-SCE_Ds[[#This Row],[ without Margins ( $)]]</f>
        <v>3.2000000000000001E-2</v>
      </c>
      <c r="G670" s="11" t="str">
        <f>IF(E669&lt;0.5,"Low", "High")</f>
        <v>Low</v>
      </c>
      <c r="H670" s="9">
        <f>SCE_Ds[[#This Row],[Margins ($)]]/SCE_Ds[[#This Row],[With Margins ($)]]</f>
        <v>0.20129870129870131</v>
      </c>
    </row>
    <row r="671" spans="1:8" x14ac:dyDescent="0.3">
      <c r="A671">
        <v>423990</v>
      </c>
      <c r="B671" t="s">
        <v>563</v>
      </c>
      <c r="C671" s="33">
        <v>0.108</v>
      </c>
      <c r="D671" s="33">
        <v>0</v>
      </c>
      <c r="E671" s="33">
        <v>0.108</v>
      </c>
      <c r="F671" s="33">
        <f>SCE_Ds[[#This Row],[With Margins ($)]]-SCE_Ds[[#This Row],[ without Margins ( $)]]</f>
        <v>0</v>
      </c>
      <c r="G671" s="11" t="str">
        <f>IF(E670&lt;0.5,"Low", "High")</f>
        <v>Low</v>
      </c>
      <c r="H671" s="9">
        <f>SCE_Ds[[#This Row],[Margins ($)]]/SCE_Ds[[#This Row],[With Margins ($)]]</f>
        <v>0</v>
      </c>
    </row>
    <row r="672" spans="1:8" x14ac:dyDescent="0.3">
      <c r="A672">
        <v>424990</v>
      </c>
      <c r="B672" t="s">
        <v>596</v>
      </c>
      <c r="C672" s="33">
        <v>0.14399999999999999</v>
      </c>
      <c r="D672" s="33">
        <v>0</v>
      </c>
      <c r="E672" s="33">
        <v>0.14399999999999999</v>
      </c>
      <c r="F672" s="33">
        <f>SCE_Ds[[#This Row],[With Margins ($)]]-SCE_Ds[[#This Row],[ without Margins ( $)]]</f>
        <v>0</v>
      </c>
      <c r="G672" s="11" t="str">
        <f>IF(E671&lt;0.5,"Low", "High")</f>
        <v>Low</v>
      </c>
      <c r="H672" s="9">
        <f>SCE_Ds[[#This Row],[Margins ($)]]/SCE_Ds[[#This Row],[With Margins ($)]]</f>
        <v>0</v>
      </c>
    </row>
    <row r="673" spans="1:8" x14ac:dyDescent="0.3">
      <c r="A673">
        <v>512199</v>
      </c>
      <c r="B673" t="s">
        <v>737</v>
      </c>
      <c r="C673" s="33">
        <v>4.7E-2</v>
      </c>
      <c r="D673" s="33">
        <v>5.0000000000000001E-3</v>
      </c>
      <c r="E673" s="33">
        <v>5.1999999999999998E-2</v>
      </c>
      <c r="F673" s="33">
        <f>SCE_Ds[[#This Row],[With Margins ($)]]-SCE_Ds[[#This Row],[ without Margins ( $)]]</f>
        <v>4.9999999999999975E-3</v>
      </c>
      <c r="G673" s="11" t="str">
        <f>IF(E672&lt;0.5,"Low", "High")</f>
        <v>Low</v>
      </c>
      <c r="H673" s="9">
        <f>SCE_Ds[[#This Row],[Margins ($)]]/SCE_Ds[[#This Row],[With Margins ($)]]</f>
        <v>9.6153846153846159E-2</v>
      </c>
    </row>
    <row r="674" spans="1:8" x14ac:dyDescent="0.3">
      <c r="A674">
        <v>336390</v>
      </c>
      <c r="B674" t="s">
        <v>482</v>
      </c>
      <c r="C674" s="33">
        <v>0.24199999999999999</v>
      </c>
      <c r="D674" s="34">
        <v>2.4E-2</v>
      </c>
      <c r="E674" s="33">
        <v>0.26500000000000001</v>
      </c>
      <c r="F674" s="33">
        <f>SCE_Ds[[#This Row],[With Margins ($)]]-SCE_Ds[[#This Row],[ without Margins ( $)]]</f>
        <v>2.300000000000002E-2</v>
      </c>
      <c r="G674" s="11" t="str">
        <f>IF(E673&lt;0.5,"Low", "High")</f>
        <v>Low</v>
      </c>
      <c r="H674" s="9">
        <f>SCE_Ds[[#This Row],[Margins ($)]]/SCE_Ds[[#This Row],[With Margins ($)]]</f>
        <v>9.056603773584905E-2</v>
      </c>
    </row>
    <row r="675" spans="1:8" x14ac:dyDescent="0.3">
      <c r="A675">
        <v>111339</v>
      </c>
      <c r="B675" t="s">
        <v>26</v>
      </c>
      <c r="C675" s="33">
        <v>0.42899999999999999</v>
      </c>
      <c r="D675" s="33">
        <v>5.8999999999999997E-2</v>
      </c>
      <c r="E675" s="33">
        <v>0.48799999999999999</v>
      </c>
      <c r="F675" s="33">
        <f>SCE_Ds[[#This Row],[With Margins ($)]]-SCE_Ds[[#This Row],[ without Margins ( $)]]</f>
        <v>5.8999999999999997E-2</v>
      </c>
      <c r="G675" s="11" t="str">
        <f>IF(E674&lt;0.5,"Low", "High")</f>
        <v>Low</v>
      </c>
      <c r="H675" s="9">
        <f>SCE_Ds[[#This Row],[Margins ($)]]/SCE_Ds[[#This Row],[With Margins ($)]]</f>
        <v>0.12090163934426229</v>
      </c>
    </row>
    <row r="676" spans="1:8" x14ac:dyDescent="0.3">
      <c r="A676">
        <v>331529</v>
      </c>
      <c r="B676" t="s">
        <v>340</v>
      </c>
      <c r="C676" s="33">
        <v>0.438</v>
      </c>
      <c r="D676" s="33">
        <v>2.5000000000000001E-2</v>
      </c>
      <c r="E676" s="33">
        <v>0.46200000000000002</v>
      </c>
      <c r="F676" s="33">
        <f>SCE_Ds[[#This Row],[With Margins ($)]]-SCE_Ds[[#This Row],[ without Margins ( $)]]</f>
        <v>2.4000000000000021E-2</v>
      </c>
      <c r="G676" s="11" t="str">
        <f>IF(E675&lt;0.5,"Low", "High")</f>
        <v>Low</v>
      </c>
      <c r="H676" s="9">
        <f>SCE_Ds[[#This Row],[Margins ($)]]/SCE_Ds[[#This Row],[With Margins ($)]]</f>
        <v>5.4112554112554112E-2</v>
      </c>
    </row>
    <row r="677" spans="1:8" x14ac:dyDescent="0.3">
      <c r="A677">
        <v>562219</v>
      </c>
      <c r="B677" t="s">
        <v>924</v>
      </c>
      <c r="C677" s="33">
        <v>0.98799999999999999</v>
      </c>
      <c r="D677" s="34">
        <v>0</v>
      </c>
      <c r="E677" s="33">
        <v>0.98799999999999999</v>
      </c>
      <c r="F677" s="33">
        <f>SCE_Ds[[#This Row],[With Margins ($)]]-SCE_Ds[[#This Row],[ without Margins ( $)]]</f>
        <v>0</v>
      </c>
      <c r="G677" s="11" t="str">
        <f>IF(E676&lt;0.5,"Low", "High")</f>
        <v>Low</v>
      </c>
      <c r="H677" s="9">
        <f>SCE_Ds[[#This Row],[Margins ($)]]/SCE_Ds[[#This Row],[With Margins ($)]]</f>
        <v>0</v>
      </c>
    </row>
    <row r="678" spans="1:8" x14ac:dyDescent="0.3">
      <c r="A678">
        <v>481219</v>
      </c>
      <c r="B678" t="s">
        <v>670</v>
      </c>
      <c r="C678" s="33">
        <v>0.64400000000000002</v>
      </c>
      <c r="D678" s="34">
        <v>0</v>
      </c>
      <c r="E678" s="33">
        <v>0.64400000000000002</v>
      </c>
      <c r="F678" s="33">
        <f>SCE_Ds[[#This Row],[With Margins ($)]]-SCE_Ds[[#This Row],[ without Margins ( $)]]</f>
        <v>0</v>
      </c>
      <c r="G678" s="11" t="str">
        <f>IF(E677&lt;0.5,"Low", "High")</f>
        <v>High</v>
      </c>
      <c r="H678" s="9">
        <f>SCE_Ds[[#This Row],[Margins ($)]]/SCE_Ds[[#This Row],[With Margins ($)]]</f>
        <v>0</v>
      </c>
    </row>
    <row r="679" spans="1:8" x14ac:dyDescent="0.3">
      <c r="A679">
        <v>322219</v>
      </c>
      <c r="B679" t="s">
        <v>244</v>
      </c>
      <c r="C679" s="33">
        <v>0.44900000000000001</v>
      </c>
      <c r="D679" s="33">
        <v>0.03</v>
      </c>
      <c r="E679" s="33">
        <v>0.47899999999999998</v>
      </c>
      <c r="F679" s="33">
        <f>SCE_Ds[[#This Row],[With Margins ($)]]-SCE_Ds[[#This Row],[ without Margins ( $)]]</f>
        <v>2.9999999999999971E-2</v>
      </c>
      <c r="G679" s="11" t="str">
        <f>IF(E678&lt;0.5,"Low", "High")</f>
        <v>High</v>
      </c>
      <c r="H679" s="9">
        <f>SCE_Ds[[#This Row],[Margins ($)]]/SCE_Ds[[#This Row],[With Margins ($)]]</f>
        <v>6.2630480167014613E-2</v>
      </c>
    </row>
    <row r="680" spans="1:8" x14ac:dyDescent="0.3">
      <c r="A680">
        <v>711190</v>
      </c>
      <c r="B680" t="s">
        <v>993</v>
      </c>
      <c r="C680" s="33">
        <v>8.5999999999999993E-2</v>
      </c>
      <c r="D680" s="33">
        <v>0</v>
      </c>
      <c r="E680" s="33">
        <v>8.5999999999999993E-2</v>
      </c>
      <c r="F680" s="33">
        <f>SCE_Ds[[#This Row],[With Margins ($)]]-SCE_Ds[[#This Row],[ without Margins ( $)]]</f>
        <v>0</v>
      </c>
      <c r="G680" s="11" t="str">
        <f>IF(E679&lt;0.5,"Low", "High")</f>
        <v>Low</v>
      </c>
      <c r="H680" s="9">
        <f>SCE_Ds[[#This Row],[Margins ($)]]/SCE_Ds[[#This Row],[With Margins ($)]]</f>
        <v>0</v>
      </c>
    </row>
    <row r="681" spans="1:8" x14ac:dyDescent="0.3">
      <c r="A681">
        <v>811490</v>
      </c>
      <c r="B681" t="s">
        <v>1050</v>
      </c>
      <c r="C681" s="33">
        <v>0.113</v>
      </c>
      <c r="D681" s="33">
        <v>0</v>
      </c>
      <c r="E681" s="33">
        <v>0.113</v>
      </c>
      <c r="F681" s="33">
        <f>SCE_Ds[[#This Row],[With Margins ($)]]-SCE_Ds[[#This Row],[ without Margins ( $)]]</f>
        <v>0</v>
      </c>
      <c r="G681" s="11" t="str">
        <f>IF(E680&lt;0.5,"Low", "High")</f>
        <v>Low</v>
      </c>
      <c r="H681" s="9">
        <f>SCE_Ds[[#This Row],[Margins ($)]]/SCE_Ds[[#This Row],[With Margins ($)]]</f>
        <v>0</v>
      </c>
    </row>
    <row r="682" spans="1:8" x14ac:dyDescent="0.3">
      <c r="A682">
        <v>812199</v>
      </c>
      <c r="B682" t="s">
        <v>1055</v>
      </c>
      <c r="C682" s="33">
        <v>0.125</v>
      </c>
      <c r="D682" s="33">
        <v>0</v>
      </c>
      <c r="E682" s="33">
        <v>0.125</v>
      </c>
      <c r="F682" s="33">
        <f>SCE_Ds[[#This Row],[With Margins ($)]]-SCE_Ds[[#This Row],[ without Margins ( $)]]</f>
        <v>0</v>
      </c>
      <c r="G682" s="11" t="str">
        <f>IF(E681&lt;0.5,"Low", "High")</f>
        <v>Low</v>
      </c>
      <c r="H682" s="9">
        <f>SCE_Ds[[#This Row],[Margins ($)]]/SCE_Ds[[#This Row],[With Margins ($)]]</f>
        <v>0</v>
      </c>
    </row>
    <row r="683" spans="1:8" x14ac:dyDescent="0.3">
      <c r="A683">
        <v>112390</v>
      </c>
      <c r="B683" t="s">
        <v>49</v>
      </c>
      <c r="C683" s="33">
        <v>0.40699999999999997</v>
      </c>
      <c r="D683" s="33">
        <v>3.1E-2</v>
      </c>
      <c r="E683" s="33">
        <v>0.438</v>
      </c>
      <c r="F683" s="33">
        <f>SCE_Ds[[#This Row],[With Margins ($)]]-SCE_Ds[[#This Row],[ without Margins ( $)]]</f>
        <v>3.1000000000000028E-2</v>
      </c>
      <c r="G683" s="11" t="str">
        <f>IF(E682&lt;0.5,"Low", "High")</f>
        <v>Low</v>
      </c>
      <c r="H683" s="9">
        <f>SCE_Ds[[#This Row],[Margins ($)]]/SCE_Ds[[#This Row],[With Margins ($)]]</f>
        <v>7.0776255707762553E-2</v>
      </c>
    </row>
    <row r="684" spans="1:8" x14ac:dyDescent="0.3">
      <c r="A684">
        <v>327212</v>
      </c>
      <c r="B684" t="s">
        <v>308</v>
      </c>
      <c r="C684" s="33">
        <v>0.53700000000000003</v>
      </c>
      <c r="D684" s="34">
        <v>0.06</v>
      </c>
      <c r="E684" s="33">
        <v>0.59699999999999998</v>
      </c>
      <c r="F684" s="33">
        <f>SCE_Ds[[#This Row],[With Margins ($)]]-SCE_Ds[[#This Row],[ without Margins ( $)]]</f>
        <v>5.9999999999999942E-2</v>
      </c>
      <c r="G684" s="11" t="str">
        <f>IF(E683&lt;0.5,"Low", "High")</f>
        <v>Low</v>
      </c>
      <c r="H684" s="9">
        <f>SCE_Ds[[#This Row],[Margins ($)]]/SCE_Ds[[#This Row],[With Margins ($)]]</f>
        <v>0.10050251256281408</v>
      </c>
    </row>
    <row r="685" spans="1:8" x14ac:dyDescent="0.3">
      <c r="A685">
        <v>423490</v>
      </c>
      <c r="B685" t="s">
        <v>543</v>
      </c>
      <c r="C685" s="33">
        <v>7.3999999999999996E-2</v>
      </c>
      <c r="D685" s="33">
        <v>0</v>
      </c>
      <c r="E685" s="33">
        <v>7.3999999999999996E-2</v>
      </c>
      <c r="F685" s="33">
        <f>SCE_Ds[[#This Row],[With Margins ($)]]-SCE_Ds[[#This Row],[ without Margins ( $)]]</f>
        <v>0</v>
      </c>
      <c r="G685" s="11" t="str">
        <f>IF(E684&lt;0.5,"Low", "High")</f>
        <v>High</v>
      </c>
      <c r="H685" s="9">
        <f>SCE_Ds[[#This Row],[Margins ($)]]/SCE_Ds[[#This Row],[With Margins ($)]]</f>
        <v>0</v>
      </c>
    </row>
    <row r="686" spans="1:8" x14ac:dyDescent="0.3">
      <c r="A686">
        <v>623990</v>
      </c>
      <c r="B686" t="s">
        <v>979</v>
      </c>
      <c r="C686" s="33">
        <v>0.129</v>
      </c>
      <c r="D686" s="33">
        <v>0</v>
      </c>
      <c r="E686" s="33">
        <v>0.129</v>
      </c>
      <c r="F686" s="33">
        <f>SCE_Ds[[#This Row],[With Margins ($)]]-SCE_Ds[[#This Row],[ without Margins ( $)]]</f>
        <v>0</v>
      </c>
      <c r="G686" s="11" t="str">
        <f>IF(E685&lt;0.5,"Low", "High")</f>
        <v>Low</v>
      </c>
      <c r="H686" s="9">
        <f>SCE_Ds[[#This Row],[Margins ($)]]/SCE_Ds[[#This Row],[With Margins ($)]]</f>
        <v>0</v>
      </c>
    </row>
    <row r="687" spans="1:8" x14ac:dyDescent="0.3">
      <c r="A687">
        <v>541690</v>
      </c>
      <c r="B687" t="s">
        <v>862</v>
      </c>
      <c r="C687" s="33">
        <v>0.09</v>
      </c>
      <c r="D687" s="33">
        <v>0</v>
      </c>
      <c r="E687" s="33">
        <v>0.09</v>
      </c>
      <c r="F687" s="33">
        <f>SCE_Ds[[#This Row],[With Margins ($)]]-SCE_Ds[[#This Row],[ without Margins ( $)]]</f>
        <v>0</v>
      </c>
      <c r="G687" s="11" t="str">
        <f>IF(E686&lt;0.5,"Low", "High")</f>
        <v>Low</v>
      </c>
      <c r="H687" s="9">
        <f>SCE_Ds[[#This Row],[Margins ($)]]/SCE_Ds[[#This Row],[With Margins ($)]]</f>
        <v>0</v>
      </c>
    </row>
    <row r="688" spans="1:8" x14ac:dyDescent="0.3">
      <c r="A688">
        <v>541890</v>
      </c>
      <c r="B688" t="s">
        <v>874</v>
      </c>
      <c r="C688" s="33">
        <v>8.5000000000000006E-2</v>
      </c>
      <c r="D688" s="33">
        <v>0</v>
      </c>
      <c r="E688" s="33">
        <v>8.5000000000000006E-2</v>
      </c>
      <c r="F688" s="33">
        <f>SCE_Ds[[#This Row],[With Margins ($)]]-SCE_Ds[[#This Row],[ without Margins ( $)]]</f>
        <v>0</v>
      </c>
      <c r="G688" s="11" t="str">
        <f>IF(E687&lt;0.5,"Low", "High")</f>
        <v>Low</v>
      </c>
      <c r="H688" s="9">
        <f>SCE_Ds[[#This Row],[Margins ($)]]/SCE_Ds[[#This Row],[With Margins ($)]]</f>
        <v>0</v>
      </c>
    </row>
    <row r="689" spans="1:8" x14ac:dyDescent="0.3">
      <c r="A689">
        <v>561790</v>
      </c>
      <c r="B689" t="s">
        <v>914</v>
      </c>
      <c r="C689" s="33">
        <v>0.214</v>
      </c>
      <c r="D689" s="33">
        <v>0</v>
      </c>
      <c r="E689" s="33">
        <v>0.214</v>
      </c>
      <c r="F689" s="33">
        <f>SCE_Ds[[#This Row],[With Margins ($)]]-SCE_Ds[[#This Row],[ without Margins ( $)]]</f>
        <v>0</v>
      </c>
      <c r="G689" s="11" t="str">
        <f>IF(E688&lt;0.5,"Low", "High")</f>
        <v>Low</v>
      </c>
      <c r="H689" s="9">
        <f>SCE_Ds[[#This Row],[Margins ($)]]/SCE_Ds[[#This Row],[With Margins ($)]]</f>
        <v>0</v>
      </c>
    </row>
    <row r="690" spans="1:8" x14ac:dyDescent="0.3">
      <c r="A690">
        <v>813990</v>
      </c>
      <c r="B690" t="s">
        <v>1081</v>
      </c>
      <c r="C690" s="33">
        <v>0.128</v>
      </c>
      <c r="D690" s="33">
        <v>0</v>
      </c>
      <c r="E690" s="33">
        <v>0.128</v>
      </c>
      <c r="F690" s="33">
        <f>SCE_Ds[[#This Row],[With Margins ($)]]-SCE_Ds[[#This Row],[ without Margins ( $)]]</f>
        <v>0</v>
      </c>
      <c r="G690" s="11" t="str">
        <f>IF(E689&lt;0.5,"Low", "High")</f>
        <v>Low</v>
      </c>
      <c r="H690" s="9">
        <f>SCE_Ds[[#This Row],[Margins ($)]]/SCE_Ds[[#This Row],[With Margins ($)]]</f>
        <v>0</v>
      </c>
    </row>
    <row r="691" spans="1:8" x14ac:dyDescent="0.3">
      <c r="A691">
        <v>311919</v>
      </c>
      <c r="B691" t="s">
        <v>186</v>
      </c>
      <c r="C691" s="33">
        <v>0.32900000000000001</v>
      </c>
      <c r="D691" s="33">
        <v>4.3999999999999997E-2</v>
      </c>
      <c r="E691" s="33">
        <v>0.372</v>
      </c>
      <c r="F691" s="33">
        <f>SCE_Ds[[#This Row],[With Margins ($)]]-SCE_Ds[[#This Row],[ without Margins ( $)]]</f>
        <v>4.2999999999999983E-2</v>
      </c>
      <c r="G691" s="11" t="str">
        <f>IF(E690&lt;0.5,"Low", "High")</f>
        <v>Low</v>
      </c>
      <c r="H691" s="9">
        <f>SCE_Ds[[#This Row],[Margins ($)]]/SCE_Ds[[#This Row],[With Margins ($)]]</f>
        <v>0.11827956989247311</v>
      </c>
    </row>
    <row r="692" spans="1:8" x14ac:dyDescent="0.3">
      <c r="A692">
        <v>813319</v>
      </c>
      <c r="B692" t="s">
        <v>1074</v>
      </c>
      <c r="C692" s="33">
        <v>5.8999999999999997E-2</v>
      </c>
      <c r="D692" s="33">
        <v>0</v>
      </c>
      <c r="E692" s="33">
        <v>5.8999999999999997E-2</v>
      </c>
      <c r="F692" s="33">
        <f>SCE_Ds[[#This Row],[With Margins ($)]]-SCE_Ds[[#This Row],[ without Margins ( $)]]</f>
        <v>0</v>
      </c>
      <c r="G692" s="11" t="str">
        <f>IF(E691&lt;0.5,"Low", "High")</f>
        <v>Low</v>
      </c>
      <c r="H692" s="9">
        <f>SCE_Ds[[#This Row],[Margins ($)]]/SCE_Ds[[#This Row],[With Margins ($)]]</f>
        <v>0</v>
      </c>
    </row>
    <row r="693" spans="1:8" x14ac:dyDescent="0.3">
      <c r="A693">
        <v>512290</v>
      </c>
      <c r="B693" t="s">
        <v>741</v>
      </c>
      <c r="C693" s="33">
        <v>2.5999999999999999E-2</v>
      </c>
      <c r="D693" s="33">
        <v>1.7999999999999999E-2</v>
      </c>
      <c r="E693" s="33">
        <v>4.3999999999999997E-2</v>
      </c>
      <c r="F693" s="33">
        <f>SCE_Ds[[#This Row],[With Margins ($)]]-SCE_Ds[[#This Row],[ without Margins ( $)]]</f>
        <v>1.7999999999999999E-2</v>
      </c>
      <c r="G693" s="11" t="str">
        <f>IF(E692&lt;0.5,"Low", "High")</f>
        <v>Low</v>
      </c>
      <c r="H693" s="9">
        <f>SCE_Ds[[#This Row],[Margins ($)]]/SCE_Ds[[#This Row],[With Margins ($)]]</f>
        <v>0.40909090909090906</v>
      </c>
    </row>
    <row r="694" spans="1:8" x14ac:dyDescent="0.3">
      <c r="A694">
        <v>541490</v>
      </c>
      <c r="B694" t="s">
        <v>849</v>
      </c>
      <c r="C694" s="33">
        <v>9.4E-2</v>
      </c>
      <c r="D694" s="33">
        <v>0</v>
      </c>
      <c r="E694" s="33">
        <v>9.4E-2</v>
      </c>
      <c r="F694" s="33">
        <f>SCE_Ds[[#This Row],[With Margins ($)]]-SCE_Ds[[#This Row],[ without Margins ( $)]]</f>
        <v>0</v>
      </c>
      <c r="G694" s="11" t="str">
        <f>IF(E693&lt;0.5,"Low", "High")</f>
        <v>Low</v>
      </c>
      <c r="H694" s="9">
        <f>SCE_Ds[[#This Row],[Margins ($)]]/SCE_Ds[[#This Row],[With Margins ($)]]</f>
        <v>0</v>
      </c>
    </row>
    <row r="695" spans="1:8" x14ac:dyDescent="0.3">
      <c r="A695">
        <v>711219</v>
      </c>
      <c r="B695" t="s">
        <v>996</v>
      </c>
      <c r="C695" s="33">
        <v>6.7000000000000004E-2</v>
      </c>
      <c r="D695" s="33">
        <v>0</v>
      </c>
      <c r="E695" s="33">
        <v>6.7000000000000004E-2</v>
      </c>
      <c r="F695" s="33">
        <f>SCE_Ds[[#This Row],[With Margins ($)]]-SCE_Ds[[#This Row],[ without Margins ( $)]]</f>
        <v>0</v>
      </c>
      <c r="G695" s="11" t="str">
        <f>IF(E694&lt;0.5,"Low", "High")</f>
        <v>Low</v>
      </c>
      <c r="H695" s="9">
        <f>SCE_Ds[[#This Row],[Margins ($)]]/SCE_Ds[[#This Row],[With Margins ($)]]</f>
        <v>0</v>
      </c>
    </row>
    <row r="696" spans="1:8" x14ac:dyDescent="0.3">
      <c r="A696">
        <v>488190</v>
      </c>
      <c r="B696" t="s">
        <v>706</v>
      </c>
      <c r="C696" s="33">
        <v>0.16200000000000001</v>
      </c>
      <c r="D696" s="33">
        <v>0</v>
      </c>
      <c r="E696" s="33">
        <v>0.16200000000000001</v>
      </c>
      <c r="F696" s="33">
        <f>SCE_Ds[[#This Row],[With Margins ($)]]-SCE_Ds[[#This Row],[ without Margins ( $)]]</f>
        <v>0</v>
      </c>
      <c r="G696" s="11" t="str">
        <f>IF(E695&lt;0.5,"Low", "High")</f>
        <v>Low</v>
      </c>
      <c r="H696" s="9">
        <f>SCE_Ds[[#This Row],[Margins ($)]]/SCE_Ds[[#This Row],[With Margins ($)]]</f>
        <v>0</v>
      </c>
    </row>
    <row r="697" spans="1:8" x14ac:dyDescent="0.3">
      <c r="A697">
        <v>488490</v>
      </c>
      <c r="B697" t="s">
        <v>713</v>
      </c>
      <c r="C697" s="33">
        <v>0.16200000000000001</v>
      </c>
      <c r="D697" s="33">
        <v>0</v>
      </c>
      <c r="E697" s="33">
        <v>0.16200000000000001</v>
      </c>
      <c r="F697" s="33">
        <f>SCE_Ds[[#This Row],[With Margins ($)]]-SCE_Ds[[#This Row],[ without Margins ( $)]]</f>
        <v>0</v>
      </c>
      <c r="G697" s="11" t="str">
        <f>IF(E696&lt;0.5,"Low", "High")</f>
        <v>Low</v>
      </c>
      <c r="H697" s="9">
        <f>SCE_Ds[[#This Row],[Margins ($)]]/SCE_Ds[[#This Row],[With Margins ($)]]</f>
        <v>0</v>
      </c>
    </row>
    <row r="698" spans="1:8" x14ac:dyDescent="0.3">
      <c r="A698">
        <v>488390</v>
      </c>
      <c r="B698" t="s">
        <v>711</v>
      </c>
      <c r="C698" s="33">
        <v>0.16200000000000001</v>
      </c>
      <c r="D698" s="33">
        <v>0</v>
      </c>
      <c r="E698" s="33">
        <v>0.16200000000000001</v>
      </c>
      <c r="F698" s="33">
        <f>SCE_Ds[[#This Row],[With Margins ($)]]-SCE_Ds[[#This Row],[ without Margins ( $)]]</f>
        <v>0</v>
      </c>
      <c r="G698" s="11" t="str">
        <f>IF(E697&lt;0.5,"Low", "High")</f>
        <v>Low</v>
      </c>
      <c r="H698" s="9">
        <f>SCE_Ds[[#This Row],[Margins ($)]]/SCE_Ds[[#This Row],[With Margins ($)]]</f>
        <v>0</v>
      </c>
    </row>
    <row r="699" spans="1:8" x14ac:dyDescent="0.3">
      <c r="A699">
        <v>611519</v>
      </c>
      <c r="B699" t="s">
        <v>940</v>
      </c>
      <c r="C699" s="33">
        <v>0.108</v>
      </c>
      <c r="D699" s="33">
        <v>0</v>
      </c>
      <c r="E699" s="33">
        <v>0.108</v>
      </c>
      <c r="F699" s="33">
        <f>SCE_Ds[[#This Row],[With Margins ($)]]-SCE_Ds[[#This Row],[ without Margins ( $)]]</f>
        <v>0</v>
      </c>
      <c r="G699" s="11" t="str">
        <f>IF(E698&lt;0.5,"Low", "High")</f>
        <v>Low</v>
      </c>
      <c r="H699" s="9">
        <f>SCE_Ds[[#This Row],[Margins ($)]]/SCE_Ds[[#This Row],[With Margins ($)]]</f>
        <v>0</v>
      </c>
    </row>
    <row r="700" spans="1:8" x14ac:dyDescent="0.3">
      <c r="A700">
        <v>485119</v>
      </c>
      <c r="B700" t="s">
        <v>688</v>
      </c>
      <c r="C700" s="33">
        <v>0.56599999999999995</v>
      </c>
      <c r="D700" s="34">
        <v>0</v>
      </c>
      <c r="E700" s="33">
        <v>0.56599999999999995</v>
      </c>
      <c r="F700" s="33">
        <f>SCE_Ds[[#This Row],[With Margins ($)]]-SCE_Ds[[#This Row],[ without Margins ( $)]]</f>
        <v>0</v>
      </c>
      <c r="G700" s="11" t="str">
        <f>IF(E699&lt;0.5,"Low", "High")</f>
        <v>Low</v>
      </c>
      <c r="H700" s="9">
        <f>SCE_Ds[[#This Row],[Margins ($)]]/SCE_Ds[[#This Row],[With Margins ($)]]</f>
        <v>0</v>
      </c>
    </row>
    <row r="701" spans="1:8" x14ac:dyDescent="0.3">
      <c r="A701">
        <v>111219</v>
      </c>
      <c r="B701" t="s">
        <v>17</v>
      </c>
      <c r="C701" s="33">
        <v>0.59099999999999997</v>
      </c>
      <c r="D701" s="34">
        <v>4.1000000000000002E-2</v>
      </c>
      <c r="E701" s="33">
        <v>0.63100000000000001</v>
      </c>
      <c r="F701" s="33">
        <f>SCE_Ds[[#This Row],[With Margins ($)]]-SCE_Ds[[#This Row],[ without Margins ( $)]]</f>
        <v>4.0000000000000036E-2</v>
      </c>
      <c r="G701" s="11" t="str">
        <f>IF(E700&lt;0.5,"Low", "High")</f>
        <v>High</v>
      </c>
      <c r="H701" s="9">
        <f>SCE_Ds[[#This Row],[Margins ($)]]/SCE_Ds[[#This Row],[With Margins ($)]]</f>
        <v>6.4976228209191758E-2</v>
      </c>
    </row>
    <row r="702" spans="1:8" x14ac:dyDescent="0.3">
      <c r="A702">
        <v>493190</v>
      </c>
      <c r="B702" t="s">
        <v>723</v>
      </c>
      <c r="C702" s="33">
        <v>0.24399999999999999</v>
      </c>
      <c r="D702" s="33">
        <v>0</v>
      </c>
      <c r="E702" s="33">
        <v>0.24399999999999999</v>
      </c>
      <c r="F702" s="33">
        <f>SCE_Ds[[#This Row],[With Margins ($)]]-SCE_Ds[[#This Row],[ without Margins ( $)]]</f>
        <v>0</v>
      </c>
      <c r="G702" s="11" t="str">
        <f>IF(E701&lt;0.5,"Low", "High")</f>
        <v>High</v>
      </c>
      <c r="H702" s="9">
        <f>SCE_Ds[[#This Row],[Margins ($)]]/SCE_Ds[[#This Row],[With Margins ($)]]</f>
        <v>0</v>
      </c>
    </row>
    <row r="703" spans="1:8" x14ac:dyDescent="0.3">
      <c r="A703">
        <v>562119</v>
      </c>
      <c r="B703" t="s">
        <v>920</v>
      </c>
      <c r="C703" s="33">
        <v>0.98799999999999999</v>
      </c>
      <c r="D703" s="34">
        <v>0</v>
      </c>
      <c r="E703" s="33">
        <v>0.98799999999999999</v>
      </c>
      <c r="F703" s="33">
        <f>SCE_Ds[[#This Row],[With Margins ($)]]-SCE_Ds[[#This Row],[ without Margins ( $)]]</f>
        <v>0</v>
      </c>
      <c r="G703" s="11" t="str">
        <f>IF(E702&lt;0.5,"Low", "High")</f>
        <v>Low</v>
      </c>
      <c r="H703" s="9">
        <f>SCE_Ds[[#This Row],[Margins ($)]]/SCE_Ds[[#This Row],[With Margins ($)]]</f>
        <v>0</v>
      </c>
    </row>
    <row r="704" spans="1:8" x14ac:dyDescent="0.3">
      <c r="A704">
        <v>541850</v>
      </c>
      <c r="B704" t="s">
        <v>871</v>
      </c>
      <c r="C704" s="33">
        <v>8.5000000000000006E-2</v>
      </c>
      <c r="D704" s="33">
        <v>0</v>
      </c>
      <c r="E704" s="33">
        <v>8.5000000000000006E-2</v>
      </c>
      <c r="F704" s="33">
        <f>SCE_Ds[[#This Row],[With Margins ($)]]-SCE_Ds[[#This Row],[ without Margins ( $)]]</f>
        <v>0</v>
      </c>
      <c r="G704" s="11" t="str">
        <f>IF(E703&lt;0.5,"Low", "High")</f>
        <v>High</v>
      </c>
      <c r="H704" s="9">
        <f>SCE_Ds[[#This Row],[Margins ($)]]/SCE_Ds[[#This Row],[With Margins ($)]]</f>
        <v>0</v>
      </c>
    </row>
    <row r="705" spans="1:8" x14ac:dyDescent="0.3">
      <c r="A705">
        <v>444210</v>
      </c>
      <c r="B705" t="s">
        <v>617</v>
      </c>
      <c r="C705" s="33">
        <v>8.6999999999999994E-2</v>
      </c>
      <c r="D705" s="33">
        <v>0</v>
      </c>
      <c r="E705" s="33">
        <v>8.6999999999999994E-2</v>
      </c>
      <c r="F705" s="33">
        <f>SCE_Ds[[#This Row],[With Margins ($)]]-SCE_Ds[[#This Row],[ without Margins ( $)]]</f>
        <v>0</v>
      </c>
      <c r="G705" s="11" t="str">
        <f>IF(E704&lt;0.5,"Low", "High")</f>
        <v>Low</v>
      </c>
      <c r="H705" s="9">
        <f>SCE_Ds[[#This Row],[Margins ($)]]/SCE_Ds[[#This Row],[With Margins ($)]]</f>
        <v>0</v>
      </c>
    </row>
    <row r="706" spans="1:8" x14ac:dyDescent="0.3">
      <c r="A706">
        <v>621420</v>
      </c>
      <c r="B706" t="s">
        <v>958</v>
      </c>
      <c r="C706" s="33">
        <v>9.6000000000000002E-2</v>
      </c>
      <c r="D706" s="33">
        <v>0</v>
      </c>
      <c r="E706" s="33">
        <v>9.6000000000000002E-2</v>
      </c>
      <c r="F706" s="33">
        <f>SCE_Ds[[#This Row],[With Margins ($)]]-SCE_Ds[[#This Row],[ without Margins ( $)]]</f>
        <v>0</v>
      </c>
      <c r="G706" s="11" t="str">
        <f>IF(E705&lt;0.5,"Low", "High")</f>
        <v>Low</v>
      </c>
      <c r="H706" s="9">
        <f>SCE_Ds[[#This Row],[Margins ($)]]/SCE_Ds[[#This Row],[With Margins ($)]]</f>
        <v>0</v>
      </c>
    </row>
    <row r="707" spans="1:8" x14ac:dyDescent="0.3">
      <c r="A707">
        <v>333923</v>
      </c>
      <c r="B707" t="s">
        <v>411</v>
      </c>
      <c r="C707" s="33">
        <v>0.23400000000000001</v>
      </c>
      <c r="D707" s="33">
        <v>2.1999999999999999E-2</v>
      </c>
      <c r="E707" s="33">
        <v>0.25600000000000001</v>
      </c>
      <c r="F707" s="33">
        <f>SCE_Ds[[#This Row],[With Margins ($)]]-SCE_Ds[[#This Row],[ without Margins ( $)]]</f>
        <v>2.1999999999999992E-2</v>
      </c>
      <c r="G707" s="11" t="str">
        <f>IF(E706&lt;0.5,"Low", "High")</f>
        <v>Low</v>
      </c>
      <c r="H707" s="9">
        <f>SCE_Ds[[#This Row],[Margins ($)]]/SCE_Ds[[#This Row],[With Margins ($)]]</f>
        <v>8.59375E-2</v>
      </c>
    </row>
    <row r="708" spans="1:8" x14ac:dyDescent="0.3">
      <c r="A708">
        <v>424420</v>
      </c>
      <c r="B708" t="s">
        <v>574</v>
      </c>
      <c r="C708" s="33">
        <v>0.159</v>
      </c>
      <c r="D708" s="33">
        <v>0</v>
      </c>
      <c r="E708" s="33">
        <v>0.159</v>
      </c>
      <c r="F708" s="33">
        <f>SCE_Ds[[#This Row],[With Margins ($)]]-SCE_Ds[[#This Row],[ without Margins ( $)]]</f>
        <v>0</v>
      </c>
      <c r="G708" s="11" t="str">
        <f>IF(E707&lt;0.5,"Low", "High")</f>
        <v>Low</v>
      </c>
      <c r="H708" s="9">
        <f>SCE_Ds[[#This Row],[Margins ($)]]/SCE_Ds[[#This Row],[With Margins ($)]]</f>
        <v>0</v>
      </c>
    </row>
    <row r="709" spans="1:8" x14ac:dyDescent="0.3">
      <c r="A709">
        <v>561910</v>
      </c>
      <c r="B709" t="s">
        <v>915</v>
      </c>
      <c r="C709" s="33">
        <v>0.127</v>
      </c>
      <c r="D709" s="33">
        <v>0</v>
      </c>
      <c r="E709" s="33">
        <v>0.127</v>
      </c>
      <c r="F709" s="33">
        <f>SCE_Ds[[#This Row],[With Margins ($)]]-SCE_Ds[[#This Row],[ without Margins ( $)]]</f>
        <v>0</v>
      </c>
      <c r="G709" s="11" t="str">
        <f>IF(E708&lt;0.5,"Low", "High")</f>
        <v>Low</v>
      </c>
      <c r="H709" s="9">
        <f>SCE_Ds[[#This Row],[Margins ($)]]/SCE_Ds[[#This Row],[With Margins ($)]]</f>
        <v>0</v>
      </c>
    </row>
    <row r="710" spans="1:8" x14ac:dyDescent="0.3">
      <c r="A710">
        <v>333993</v>
      </c>
      <c r="B710" t="s">
        <v>416</v>
      </c>
      <c r="C710" s="33">
        <v>0.113</v>
      </c>
      <c r="D710" s="33">
        <v>2.3E-2</v>
      </c>
      <c r="E710" s="33">
        <v>0.13600000000000001</v>
      </c>
      <c r="F710" s="33">
        <f>SCE_Ds[[#This Row],[With Margins ($)]]-SCE_Ds[[#This Row],[ without Margins ( $)]]</f>
        <v>2.3000000000000007E-2</v>
      </c>
      <c r="G710" s="11" t="str">
        <f>IF(E709&lt;0.5,"Low", "High")</f>
        <v>Low</v>
      </c>
      <c r="H710" s="9">
        <f>SCE_Ds[[#This Row],[Margins ($)]]/SCE_Ds[[#This Row],[With Margins ($)]]</f>
        <v>0.16911764705882351</v>
      </c>
    </row>
    <row r="711" spans="1:8" x14ac:dyDescent="0.3">
      <c r="A711">
        <v>488991</v>
      </c>
      <c r="B711" t="s">
        <v>715</v>
      </c>
      <c r="C711" s="33">
        <v>0.16200000000000001</v>
      </c>
      <c r="D711" s="33">
        <v>0</v>
      </c>
      <c r="E711" s="33">
        <v>0.16200000000000001</v>
      </c>
      <c r="F711" s="33">
        <f>SCE_Ds[[#This Row],[With Margins ($)]]-SCE_Ds[[#This Row],[ without Margins ( $)]]</f>
        <v>0</v>
      </c>
      <c r="G711" s="11" t="str">
        <f>IF(E710&lt;0.5,"Low", "High")</f>
        <v>Low</v>
      </c>
      <c r="H711" s="9">
        <f>SCE_Ds[[#This Row],[Margins ($)]]/SCE_Ds[[#This Row],[With Margins ($)]]</f>
        <v>0</v>
      </c>
    </row>
    <row r="712" spans="1:8" x14ac:dyDescent="0.3">
      <c r="A712">
        <v>325510</v>
      </c>
      <c r="B712" t="s">
        <v>277</v>
      </c>
      <c r="C712" s="33">
        <v>0.26400000000000001</v>
      </c>
      <c r="D712" s="33">
        <v>2.7E-2</v>
      </c>
      <c r="E712" s="33">
        <v>0.29099999999999998</v>
      </c>
      <c r="F712" s="33">
        <f>SCE_Ds[[#This Row],[With Margins ($)]]-SCE_Ds[[#This Row],[ without Margins ( $)]]</f>
        <v>2.6999999999999968E-2</v>
      </c>
      <c r="G712" s="11" t="str">
        <f>IF(E711&lt;0.5,"Low", "High")</f>
        <v>Low</v>
      </c>
      <c r="H712" s="9">
        <f>SCE_Ds[[#This Row],[Margins ($)]]/SCE_Ds[[#This Row],[With Margins ($)]]</f>
        <v>9.2783505154639179E-2</v>
      </c>
    </row>
    <row r="713" spans="1:8" x14ac:dyDescent="0.3">
      <c r="A713">
        <v>444120</v>
      </c>
      <c r="B713" t="s">
        <v>614</v>
      </c>
      <c r="C713" s="33">
        <v>8.6999999999999994E-2</v>
      </c>
      <c r="D713" s="33">
        <v>0</v>
      </c>
      <c r="E713" s="33">
        <v>8.6999999999999994E-2</v>
      </c>
      <c r="F713" s="33">
        <f>SCE_Ds[[#This Row],[With Margins ($)]]-SCE_Ds[[#This Row],[ without Margins ( $)]]</f>
        <v>0</v>
      </c>
      <c r="G713" s="11" t="str">
        <f>IF(E712&lt;0.5,"Low", "High")</f>
        <v>Low</v>
      </c>
      <c r="H713" s="9">
        <f>SCE_Ds[[#This Row],[Margins ($)]]/SCE_Ds[[#This Row],[With Margins ($)]]</f>
        <v>0</v>
      </c>
    </row>
    <row r="714" spans="1:8" x14ac:dyDescent="0.3">
      <c r="A714">
        <v>424950</v>
      </c>
      <c r="B714" t="s">
        <v>595</v>
      </c>
      <c r="C714" s="33">
        <v>0.14399999999999999</v>
      </c>
      <c r="D714" s="33">
        <v>0</v>
      </c>
      <c r="E714" s="33">
        <v>0.14399999999999999</v>
      </c>
      <c r="F714" s="33">
        <f>SCE_Ds[[#This Row],[With Margins ($)]]-SCE_Ds[[#This Row],[ without Margins ( $)]]</f>
        <v>0</v>
      </c>
      <c r="G714" s="11" t="str">
        <f>IF(E713&lt;0.5,"Low", "High")</f>
        <v>Low</v>
      </c>
      <c r="H714" s="9">
        <f>SCE_Ds[[#This Row],[Margins ($)]]/SCE_Ds[[#This Row],[With Margins ($)]]</f>
        <v>0</v>
      </c>
    </row>
    <row r="715" spans="1:8" x14ac:dyDescent="0.3">
      <c r="A715">
        <v>238320</v>
      </c>
      <c r="B715" t="s">
        <v>140</v>
      </c>
      <c r="C715" s="33">
        <v>0.221</v>
      </c>
      <c r="D715" s="33">
        <v>0</v>
      </c>
      <c r="E715" s="33">
        <v>0.221</v>
      </c>
      <c r="F715" s="33">
        <f>SCE_Ds[[#This Row],[With Margins ($)]]-SCE_Ds[[#This Row],[ without Margins ( $)]]</f>
        <v>0</v>
      </c>
      <c r="G715" s="11" t="str">
        <f>IF(E714&lt;0.5,"Low", "High")</f>
        <v>Low</v>
      </c>
      <c r="H715" s="9">
        <f>SCE_Ds[[#This Row],[Margins ($)]]/SCE_Ds[[#This Row],[With Margins ($)]]</f>
        <v>0</v>
      </c>
    </row>
    <row r="716" spans="1:8" x14ac:dyDescent="0.3">
      <c r="A716">
        <v>322121</v>
      </c>
      <c r="B716" t="s">
        <v>239</v>
      </c>
      <c r="C716" s="33">
        <v>0.60299999999999998</v>
      </c>
      <c r="D716" s="34">
        <v>4.7E-2</v>
      </c>
      <c r="E716" s="33">
        <v>0.64900000000000002</v>
      </c>
      <c r="F716" s="33">
        <f>SCE_Ds[[#This Row],[With Margins ($)]]-SCE_Ds[[#This Row],[ without Margins ( $)]]</f>
        <v>4.6000000000000041E-2</v>
      </c>
      <c r="G716" s="11" t="str">
        <f>IF(E715&lt;0.5,"Low", "High")</f>
        <v>Low</v>
      </c>
      <c r="H716" s="9">
        <f>SCE_Ds[[#This Row],[Margins ($)]]/SCE_Ds[[#This Row],[With Margins ($)]]</f>
        <v>7.24191063174114E-2</v>
      </c>
    </row>
    <row r="717" spans="1:8" x14ac:dyDescent="0.3">
      <c r="A717">
        <v>322220</v>
      </c>
      <c r="B717" t="s">
        <v>245</v>
      </c>
      <c r="C717" s="33">
        <v>0.33</v>
      </c>
      <c r="D717" s="33">
        <v>3.4000000000000002E-2</v>
      </c>
      <c r="E717" s="33">
        <v>0.36399999999999999</v>
      </c>
      <c r="F717" s="33">
        <f>SCE_Ds[[#This Row],[With Margins ($)]]-SCE_Ds[[#This Row],[ without Margins ( $)]]</f>
        <v>3.3999999999999975E-2</v>
      </c>
      <c r="G717" s="11" t="str">
        <f>IF(E716&lt;0.5,"Low", "High")</f>
        <v>High</v>
      </c>
      <c r="H717" s="9">
        <f>SCE_Ds[[#This Row],[Margins ($)]]/SCE_Ds[[#This Row],[With Margins ($)]]</f>
        <v>9.3406593406593422E-2</v>
      </c>
    </row>
    <row r="718" spans="1:8" x14ac:dyDescent="0.3">
      <c r="A718">
        <v>322130</v>
      </c>
      <c r="B718" t="s">
        <v>241</v>
      </c>
      <c r="C718" s="33">
        <v>0.78900000000000003</v>
      </c>
      <c r="D718" s="34">
        <v>0.04</v>
      </c>
      <c r="E718" s="33">
        <v>0.82899999999999996</v>
      </c>
      <c r="F718" s="33">
        <f>SCE_Ds[[#This Row],[With Margins ($)]]-SCE_Ds[[#This Row],[ without Margins ( $)]]</f>
        <v>3.9999999999999925E-2</v>
      </c>
      <c r="G718" s="11" t="str">
        <f>IF(E717&lt;0.5,"Low", "High")</f>
        <v>Low</v>
      </c>
      <c r="H718" s="9">
        <f>SCE_Ds[[#This Row],[Margins ($)]]/SCE_Ds[[#This Row],[With Margins ($)]]</f>
        <v>4.8250904704463214E-2</v>
      </c>
    </row>
    <row r="719" spans="1:8" x14ac:dyDescent="0.3">
      <c r="A719">
        <v>812930</v>
      </c>
      <c r="B719" t="s">
        <v>1065</v>
      </c>
      <c r="C719" s="33">
        <v>0.111</v>
      </c>
      <c r="D719" s="33">
        <v>0</v>
      </c>
      <c r="E719" s="33">
        <v>0.111</v>
      </c>
      <c r="F719" s="33">
        <f>SCE_Ds[[#This Row],[With Margins ($)]]-SCE_Ds[[#This Row],[ without Margins ( $)]]</f>
        <v>0</v>
      </c>
      <c r="G719" s="11" t="str">
        <f>IF(E718&lt;0.5,"Low", "High")</f>
        <v>High</v>
      </c>
      <c r="H719" s="9">
        <f>SCE_Ds[[#This Row],[Margins ($)]]/SCE_Ds[[#This Row],[With Margins ($)]]</f>
        <v>0</v>
      </c>
    </row>
    <row r="720" spans="1:8" x14ac:dyDescent="0.3">
      <c r="A720">
        <v>532112</v>
      </c>
      <c r="B720" t="s">
        <v>815</v>
      </c>
      <c r="C720" s="33">
        <v>0.11</v>
      </c>
      <c r="D720" s="33">
        <v>0</v>
      </c>
      <c r="E720" s="33">
        <v>0.11</v>
      </c>
      <c r="F720" s="33">
        <f>SCE_Ds[[#This Row],[With Margins ($)]]-SCE_Ds[[#This Row],[ without Margins ( $)]]</f>
        <v>0</v>
      </c>
      <c r="G720" s="11" t="str">
        <f>IF(E719&lt;0.5,"Low", "High")</f>
        <v>Low</v>
      </c>
      <c r="H720" s="9">
        <f>SCE_Ds[[#This Row],[Margins ($)]]/SCE_Ds[[#This Row],[With Margins ($)]]</f>
        <v>0</v>
      </c>
    </row>
    <row r="721" spans="1:8" x14ac:dyDescent="0.3">
      <c r="A721">
        <v>532111</v>
      </c>
      <c r="B721" t="s">
        <v>814</v>
      </c>
      <c r="C721" s="33">
        <v>0.11</v>
      </c>
      <c r="D721" s="33">
        <v>0</v>
      </c>
      <c r="E721" s="33">
        <v>0.11</v>
      </c>
      <c r="F721" s="33">
        <f>SCE_Ds[[#This Row],[With Margins ($)]]-SCE_Ds[[#This Row],[ without Margins ( $)]]</f>
        <v>0</v>
      </c>
      <c r="G721" s="11" t="str">
        <f>IF(E720&lt;0.5,"Low", "High")</f>
        <v>Low</v>
      </c>
      <c r="H721" s="9">
        <f>SCE_Ds[[#This Row],[Margins ($)]]/SCE_Ds[[#This Row],[With Margins ($)]]</f>
        <v>0</v>
      </c>
    </row>
    <row r="722" spans="1:8" x14ac:dyDescent="0.3">
      <c r="A722">
        <v>541214</v>
      </c>
      <c r="B722" t="s">
        <v>836</v>
      </c>
      <c r="C722" s="33">
        <v>5.3999999999999999E-2</v>
      </c>
      <c r="D722" s="33">
        <v>0</v>
      </c>
      <c r="E722" s="33">
        <v>5.3999999999999999E-2</v>
      </c>
      <c r="F722" s="33">
        <f>SCE_Ds[[#This Row],[With Margins ($)]]-SCE_Ds[[#This Row],[ without Margins ( $)]]</f>
        <v>0</v>
      </c>
      <c r="G722" s="11" t="str">
        <f>IF(E721&lt;0.5,"Low", "High")</f>
        <v>Low</v>
      </c>
      <c r="H722" s="9">
        <f>SCE_Ds[[#This Row],[Margins ($)]]/SCE_Ds[[#This Row],[With Margins ($)]]</f>
        <v>0</v>
      </c>
    </row>
    <row r="723" spans="1:8" x14ac:dyDescent="0.3">
      <c r="A723">
        <v>111992</v>
      </c>
      <c r="B723" t="s">
        <v>36</v>
      </c>
      <c r="C723" s="33">
        <v>0.70299999999999996</v>
      </c>
      <c r="D723" s="34">
        <v>3.6999999999999998E-2</v>
      </c>
      <c r="E723" s="33">
        <v>0.74</v>
      </c>
      <c r="F723" s="33">
        <f>SCE_Ds[[#This Row],[With Margins ($)]]-SCE_Ds[[#This Row],[ without Margins ( $)]]</f>
        <v>3.7000000000000033E-2</v>
      </c>
      <c r="G723" s="11" t="str">
        <f>IF(E722&lt;0.5,"Low", "High")</f>
        <v>Low</v>
      </c>
      <c r="H723" s="9">
        <f>SCE_Ds[[#This Row],[Margins ($)]]/SCE_Ds[[#This Row],[With Margins ($)]]</f>
        <v>4.9999999999999996E-2</v>
      </c>
    </row>
    <row r="724" spans="1:8" x14ac:dyDescent="0.3">
      <c r="A724">
        <v>525110</v>
      </c>
      <c r="B724" t="s">
        <v>797</v>
      </c>
      <c r="C724" s="33">
        <v>0.218</v>
      </c>
      <c r="D724" s="33">
        <v>0</v>
      </c>
      <c r="E724" s="33">
        <v>0.218</v>
      </c>
      <c r="F724" s="33">
        <f>SCE_Ds[[#This Row],[With Margins ($)]]-SCE_Ds[[#This Row],[ without Margins ( $)]]</f>
        <v>0</v>
      </c>
      <c r="G724" s="11" t="str">
        <f>IF(E723&lt;0.5,"Low", "High")</f>
        <v>High</v>
      </c>
      <c r="H724" s="9">
        <f>SCE_Ds[[#This Row],[Margins ($)]]/SCE_Ds[[#This Row],[With Margins ($)]]</f>
        <v>0</v>
      </c>
    </row>
    <row r="725" spans="1:8" x14ac:dyDescent="0.3">
      <c r="A725">
        <v>511120</v>
      </c>
      <c r="B725" t="s">
        <v>725</v>
      </c>
      <c r="C725" s="33">
        <v>5.8999999999999997E-2</v>
      </c>
      <c r="D725" s="33">
        <v>4.2999999999999997E-2</v>
      </c>
      <c r="E725" s="33">
        <v>0.10299999999999999</v>
      </c>
      <c r="F725" s="33">
        <f>SCE_Ds[[#This Row],[With Margins ($)]]-SCE_Ds[[#This Row],[ without Margins ( $)]]</f>
        <v>4.3999999999999997E-2</v>
      </c>
      <c r="G725" s="11" t="str">
        <f>IF(E724&lt;0.5,"Low", "High")</f>
        <v>Low</v>
      </c>
      <c r="H725" s="9">
        <f>SCE_Ds[[#This Row],[Margins ($)]]/SCE_Ds[[#This Row],[With Margins ($)]]</f>
        <v>0.41747572815533979</v>
      </c>
    </row>
    <row r="726" spans="1:8" x14ac:dyDescent="0.3">
      <c r="A726">
        <v>311991</v>
      </c>
      <c r="B726" t="s">
        <v>191</v>
      </c>
      <c r="C726" s="33">
        <v>0.35799999999999998</v>
      </c>
      <c r="D726" s="33">
        <v>4.2000000000000003E-2</v>
      </c>
      <c r="E726" s="33">
        <v>0.40100000000000002</v>
      </c>
      <c r="F726" s="33">
        <f>SCE_Ds[[#This Row],[With Margins ($)]]-SCE_Ds[[#This Row],[ without Margins ( $)]]</f>
        <v>4.3000000000000038E-2</v>
      </c>
      <c r="G726" s="11" t="str">
        <f>IF(E725&lt;0.5,"Low", "High")</f>
        <v>Low</v>
      </c>
      <c r="H726" s="9">
        <f>SCE_Ds[[#This Row],[Margins ($)]]/SCE_Ds[[#This Row],[With Margins ($)]]</f>
        <v>0.10473815461346633</v>
      </c>
    </row>
    <row r="727" spans="1:8" x14ac:dyDescent="0.3">
      <c r="A727">
        <v>325320</v>
      </c>
      <c r="B727" t="s">
        <v>272</v>
      </c>
      <c r="C727" s="33">
        <v>0.433</v>
      </c>
      <c r="D727" s="34">
        <v>3.1E-2</v>
      </c>
      <c r="E727" s="33">
        <v>0.46300000000000002</v>
      </c>
      <c r="F727" s="33">
        <f>SCE_Ds[[#This Row],[With Margins ($)]]-SCE_Ds[[#This Row],[ without Margins ( $)]]</f>
        <v>3.0000000000000027E-2</v>
      </c>
      <c r="G727" s="11" t="str">
        <f>IF(E726&lt;0.5,"Low", "High")</f>
        <v>Low</v>
      </c>
      <c r="H727" s="9">
        <f>SCE_Ds[[#This Row],[Margins ($)]]/SCE_Ds[[#This Row],[With Margins ($)]]</f>
        <v>6.6954643628509711E-2</v>
      </c>
    </row>
    <row r="728" spans="1:8" x14ac:dyDescent="0.3">
      <c r="A728">
        <v>453910</v>
      </c>
      <c r="B728" t="s">
        <v>657</v>
      </c>
      <c r="C728" s="33">
        <v>0.111</v>
      </c>
      <c r="D728" s="33">
        <v>0</v>
      </c>
      <c r="E728" s="33">
        <v>0.111</v>
      </c>
      <c r="F728" s="33">
        <f>SCE_Ds[[#This Row],[With Margins ($)]]-SCE_Ds[[#This Row],[ without Margins ( $)]]</f>
        <v>0</v>
      </c>
      <c r="G728" s="11" t="str">
        <f>IF(E727&lt;0.5,"Low", "High")</f>
        <v>Low</v>
      </c>
      <c r="H728" s="9">
        <f>SCE_Ds[[#This Row],[Margins ($)]]/SCE_Ds[[#This Row],[With Margins ($)]]</f>
        <v>0</v>
      </c>
    </row>
    <row r="729" spans="1:8" x14ac:dyDescent="0.3">
      <c r="A729">
        <v>812910</v>
      </c>
      <c r="B729" t="s">
        <v>1062</v>
      </c>
      <c r="C729" s="33">
        <v>0.111</v>
      </c>
      <c r="D729" s="33">
        <v>0</v>
      </c>
      <c r="E729" s="33">
        <v>0.111</v>
      </c>
      <c r="F729" s="33">
        <f>SCE_Ds[[#This Row],[With Margins ($)]]-SCE_Ds[[#This Row],[ without Margins ( $)]]</f>
        <v>0</v>
      </c>
      <c r="G729" s="11" t="str">
        <f>IF(E728&lt;0.5,"Low", "High")</f>
        <v>Low</v>
      </c>
      <c r="H729" s="9">
        <f>SCE_Ds[[#This Row],[Margins ($)]]/SCE_Ds[[#This Row],[With Margins ($)]]</f>
        <v>0</v>
      </c>
    </row>
    <row r="730" spans="1:8" x14ac:dyDescent="0.3">
      <c r="A730">
        <v>325110</v>
      </c>
      <c r="B730" t="s">
        <v>258</v>
      </c>
      <c r="C730" s="33">
        <v>0.79400000000000004</v>
      </c>
      <c r="D730" s="33">
        <v>1.6E-2</v>
      </c>
      <c r="E730" s="33">
        <v>0.81100000000000005</v>
      </c>
      <c r="F730" s="33">
        <f>SCE_Ds[[#This Row],[With Margins ($)]]-SCE_Ds[[#This Row],[ without Margins ( $)]]</f>
        <v>1.7000000000000015E-2</v>
      </c>
      <c r="G730" s="11" t="str">
        <f>IF(E729&lt;0.5,"Low", "High")</f>
        <v>Low</v>
      </c>
      <c r="H730" s="9">
        <f>SCE_Ds[[#This Row],[Margins ($)]]/SCE_Ds[[#This Row],[With Margins ($)]]</f>
        <v>1.9728729963008632E-2</v>
      </c>
    </row>
    <row r="731" spans="1:8" x14ac:dyDescent="0.3">
      <c r="A731">
        <v>424720</v>
      </c>
      <c r="B731" t="s">
        <v>588</v>
      </c>
      <c r="C731" s="33">
        <v>0.10199999999999999</v>
      </c>
      <c r="D731" s="33">
        <v>0</v>
      </c>
      <c r="E731" s="33">
        <v>0.10199999999999999</v>
      </c>
      <c r="F731" s="33">
        <f>SCE_Ds[[#This Row],[With Margins ($)]]-SCE_Ds[[#This Row],[ without Margins ( $)]]</f>
        <v>0</v>
      </c>
      <c r="G731" s="11" t="str">
        <f>IF(E730&lt;0.5,"Low", "High")</f>
        <v>High</v>
      </c>
      <c r="H731" s="9">
        <f>SCE_Ds[[#This Row],[Margins ($)]]/SCE_Ds[[#This Row],[With Margins ($)]]</f>
        <v>0</v>
      </c>
    </row>
    <row r="732" spans="1:8" x14ac:dyDescent="0.3">
      <c r="A732">
        <v>424710</v>
      </c>
      <c r="B732" t="s">
        <v>587</v>
      </c>
      <c r="C732" s="33">
        <v>0.10199999999999999</v>
      </c>
      <c r="D732" s="33">
        <v>0</v>
      </c>
      <c r="E732" s="33">
        <v>0.10199999999999999</v>
      </c>
      <c r="F732" s="33">
        <f>SCE_Ds[[#This Row],[With Margins ($)]]-SCE_Ds[[#This Row],[ without Margins ( $)]]</f>
        <v>0</v>
      </c>
      <c r="G732" s="11" t="str">
        <f>IF(E731&lt;0.5,"Low", "High")</f>
        <v>Low</v>
      </c>
      <c r="H732" s="9">
        <f>SCE_Ds[[#This Row],[Margins ($)]]/SCE_Ds[[#This Row],[With Margins ($)]]</f>
        <v>0</v>
      </c>
    </row>
    <row r="733" spans="1:8" x14ac:dyDescent="0.3">
      <c r="A733">
        <v>324191</v>
      </c>
      <c r="B733" t="s">
        <v>256</v>
      </c>
      <c r="C733" s="33">
        <v>0.35899999999999999</v>
      </c>
      <c r="D733" s="34">
        <v>3.2000000000000001E-2</v>
      </c>
      <c r="E733" s="33">
        <v>0.39100000000000001</v>
      </c>
      <c r="F733" s="33">
        <f>SCE_Ds[[#This Row],[With Margins ($)]]-SCE_Ds[[#This Row],[ without Margins ( $)]]</f>
        <v>3.2000000000000028E-2</v>
      </c>
      <c r="G733" s="11" t="str">
        <f>IF(E732&lt;0.5,"Low", "High")</f>
        <v>Low</v>
      </c>
      <c r="H733" s="9">
        <f>SCE_Ds[[#This Row],[Margins ($)]]/SCE_Ds[[#This Row],[With Margins ($)]]</f>
        <v>8.1841432225063931E-2</v>
      </c>
    </row>
    <row r="734" spans="1:8" x14ac:dyDescent="0.3">
      <c r="A734">
        <v>324110</v>
      </c>
      <c r="B734" t="s">
        <v>253</v>
      </c>
      <c r="C734" s="33">
        <v>0.248</v>
      </c>
      <c r="D734" s="33">
        <v>2.1999999999999999E-2</v>
      </c>
      <c r="E734" s="33">
        <v>0.27</v>
      </c>
      <c r="F734" s="33">
        <f>SCE_Ds[[#This Row],[With Margins ($)]]-SCE_Ds[[#This Row],[ without Margins ( $)]]</f>
        <v>2.200000000000002E-2</v>
      </c>
      <c r="G734" s="11" t="str">
        <f>IF(E733&lt;0.5,"Low", "High")</f>
        <v>Low</v>
      </c>
      <c r="H734" s="9">
        <f>SCE_Ds[[#This Row],[Margins ($)]]/SCE_Ds[[#This Row],[With Margins ($)]]</f>
        <v>8.1481481481481474E-2</v>
      </c>
    </row>
    <row r="735" spans="1:8" x14ac:dyDescent="0.3">
      <c r="A735">
        <v>325412</v>
      </c>
      <c r="B735" t="s">
        <v>274</v>
      </c>
      <c r="C735" s="33">
        <v>4.4999999999999998E-2</v>
      </c>
      <c r="D735" s="33">
        <v>5.2999999999999999E-2</v>
      </c>
      <c r="E735" s="33">
        <v>9.9000000000000005E-2</v>
      </c>
      <c r="F735" s="33">
        <f>SCE_Ds[[#This Row],[With Margins ($)]]-SCE_Ds[[#This Row],[ without Margins ( $)]]</f>
        <v>5.4000000000000006E-2</v>
      </c>
      <c r="G735" s="11" t="str">
        <f>IF(E734&lt;0.5,"Low", "High")</f>
        <v>Low</v>
      </c>
      <c r="H735" s="9">
        <f>SCE_Ds[[#This Row],[Margins ($)]]/SCE_Ds[[#This Row],[With Margins ($)]]</f>
        <v>0.53535353535353536</v>
      </c>
    </row>
    <row r="736" spans="1:8" x14ac:dyDescent="0.3">
      <c r="A736">
        <v>446110</v>
      </c>
      <c r="B736" t="s">
        <v>628</v>
      </c>
      <c r="C736" s="33">
        <v>0.13</v>
      </c>
      <c r="D736" s="33">
        <v>0</v>
      </c>
      <c r="E736" s="33">
        <v>0.13</v>
      </c>
      <c r="F736" s="33">
        <f>SCE_Ds[[#This Row],[With Margins ($)]]-SCE_Ds[[#This Row],[ without Margins ( $)]]</f>
        <v>0</v>
      </c>
      <c r="G736" s="11" t="str">
        <f>IF(E735&lt;0.5,"Low", "High")</f>
        <v>Low</v>
      </c>
      <c r="H736" s="9">
        <f>SCE_Ds[[#This Row],[Margins ($)]]/SCE_Ds[[#This Row],[With Margins ($)]]</f>
        <v>0</v>
      </c>
    </row>
    <row r="737" spans="1:8" x14ac:dyDescent="0.3">
      <c r="A737">
        <v>212392</v>
      </c>
      <c r="B737" t="s">
        <v>96</v>
      </c>
      <c r="C737" s="33">
        <v>0.184</v>
      </c>
      <c r="D737" s="33">
        <v>0.125</v>
      </c>
      <c r="E737" s="33">
        <v>0.309</v>
      </c>
      <c r="F737" s="33">
        <f>SCE_Ds[[#This Row],[With Margins ($)]]-SCE_Ds[[#This Row],[ without Margins ( $)]]</f>
        <v>0.125</v>
      </c>
      <c r="G737" s="11" t="str">
        <f>IF(E736&lt;0.5,"Low", "High")</f>
        <v>Low</v>
      </c>
      <c r="H737" s="9">
        <f>SCE_Ds[[#This Row],[Margins ($)]]/SCE_Ds[[#This Row],[With Margins ($)]]</f>
        <v>0.4045307443365696</v>
      </c>
    </row>
    <row r="738" spans="1:8" x14ac:dyDescent="0.3">
      <c r="A738">
        <v>325312</v>
      </c>
      <c r="B738" t="s">
        <v>270</v>
      </c>
      <c r="C738" s="33">
        <v>1.1140000000000001</v>
      </c>
      <c r="D738" s="34">
        <v>2.3E-2</v>
      </c>
      <c r="E738" s="33">
        <v>1.137</v>
      </c>
      <c r="F738" s="33">
        <f>SCE_Ds[[#This Row],[With Margins ($)]]-SCE_Ds[[#This Row],[ without Margins ( $)]]</f>
        <v>2.2999999999999909E-2</v>
      </c>
      <c r="G738" s="11" t="str">
        <f>IF(E737&lt;0.5,"Low", "High")</f>
        <v>Low</v>
      </c>
      <c r="H738" s="9">
        <f>SCE_Ds[[#This Row],[Margins ($)]]/SCE_Ds[[#This Row],[With Margins ($)]]</f>
        <v>2.0228671943711522E-2</v>
      </c>
    </row>
    <row r="739" spans="1:8" x14ac:dyDescent="0.3">
      <c r="A739">
        <v>812921</v>
      </c>
      <c r="B739" t="s">
        <v>1063</v>
      </c>
      <c r="C739" s="33">
        <v>0.111</v>
      </c>
      <c r="D739" s="33">
        <v>0</v>
      </c>
      <c r="E739" s="33">
        <v>0.111</v>
      </c>
      <c r="F739" s="33">
        <f>SCE_Ds[[#This Row],[With Margins ($)]]-SCE_Ds[[#This Row],[ without Margins ( $)]]</f>
        <v>0</v>
      </c>
      <c r="G739" s="11" t="str">
        <f>IF(E738&lt;0.5,"Low", "High")</f>
        <v>High</v>
      </c>
      <c r="H739" s="9">
        <f>SCE_Ds[[#This Row],[Margins ($)]]/SCE_Ds[[#This Row],[With Margins ($)]]</f>
        <v>0</v>
      </c>
    </row>
    <row r="740" spans="1:8" x14ac:dyDescent="0.3">
      <c r="A740">
        <v>333316</v>
      </c>
      <c r="B740" t="s">
        <v>392</v>
      </c>
      <c r="C740" s="33">
        <v>8.5000000000000006E-2</v>
      </c>
      <c r="D740" s="33">
        <v>0.05</v>
      </c>
      <c r="E740" s="33">
        <v>0.13500000000000001</v>
      </c>
      <c r="F740" s="33">
        <f>SCE_Ds[[#This Row],[With Margins ($)]]-SCE_Ds[[#This Row],[ without Margins ( $)]]</f>
        <v>0.05</v>
      </c>
      <c r="G740" s="11" t="str">
        <f>IF(E739&lt;0.5,"Low", "High")</f>
        <v>Low</v>
      </c>
      <c r="H740" s="9">
        <f>SCE_Ds[[#This Row],[Margins ($)]]/SCE_Ds[[#This Row],[With Margins ($)]]</f>
        <v>0.37037037037037035</v>
      </c>
    </row>
    <row r="741" spans="1:8" x14ac:dyDescent="0.3">
      <c r="A741">
        <v>423410</v>
      </c>
      <c r="B741" t="s">
        <v>537</v>
      </c>
      <c r="C741" s="33">
        <v>7.3999999999999996E-2</v>
      </c>
      <c r="D741" s="33">
        <v>0</v>
      </c>
      <c r="E741" s="33">
        <v>7.3999999999999996E-2</v>
      </c>
      <c r="F741" s="33">
        <f>SCE_Ds[[#This Row],[With Margins ($)]]-SCE_Ds[[#This Row],[ without Margins ( $)]]</f>
        <v>0</v>
      </c>
      <c r="G741" s="11" t="str">
        <f>IF(E740&lt;0.5,"Low", "High")</f>
        <v>Low</v>
      </c>
      <c r="H741" s="9">
        <f>SCE_Ds[[#This Row],[Margins ($)]]/SCE_Ds[[#This Row],[With Margins ($)]]</f>
        <v>0</v>
      </c>
    </row>
    <row r="742" spans="1:8" x14ac:dyDescent="0.3">
      <c r="A742">
        <v>325992</v>
      </c>
      <c r="B742" t="s">
        <v>287</v>
      </c>
      <c r="C742" s="33">
        <v>0.47199999999999998</v>
      </c>
      <c r="D742" s="34">
        <v>2.8000000000000001E-2</v>
      </c>
      <c r="E742" s="33">
        <v>0.5</v>
      </c>
      <c r="F742" s="33">
        <f>SCE_Ds[[#This Row],[With Margins ($)]]-SCE_Ds[[#This Row],[ without Margins ( $)]]</f>
        <v>2.8000000000000025E-2</v>
      </c>
      <c r="G742" s="11" t="str">
        <f>IF(E741&lt;0.5,"Low", "High")</f>
        <v>Low</v>
      </c>
      <c r="H742" s="9">
        <f>SCE_Ds[[#This Row],[Margins ($)]]/SCE_Ds[[#This Row],[With Margins ($)]]</f>
        <v>5.6000000000000001E-2</v>
      </c>
    </row>
    <row r="743" spans="1:8" x14ac:dyDescent="0.3">
      <c r="A743">
        <v>541921</v>
      </c>
      <c r="B743" t="s">
        <v>877</v>
      </c>
      <c r="C743" s="33">
        <v>0.125</v>
      </c>
      <c r="D743" s="33">
        <v>0</v>
      </c>
      <c r="E743" s="33">
        <v>0.125</v>
      </c>
      <c r="F743" s="33">
        <f>SCE_Ds[[#This Row],[With Margins ($)]]-SCE_Ds[[#This Row],[ without Margins ( $)]]</f>
        <v>0</v>
      </c>
      <c r="G743" s="11" t="str">
        <f>IF(E742&lt;0.5,"Low", "High")</f>
        <v>High</v>
      </c>
      <c r="H743" s="9">
        <f>SCE_Ds[[#This Row],[Margins ($)]]/SCE_Ds[[#This Row],[With Margins ($)]]</f>
        <v>0</v>
      </c>
    </row>
    <row r="744" spans="1:8" x14ac:dyDescent="0.3">
      <c r="A744">
        <v>424310</v>
      </c>
      <c r="B744" t="s">
        <v>569</v>
      </c>
      <c r="C744" s="33">
        <v>0.14399999999999999</v>
      </c>
      <c r="D744" s="33">
        <v>0</v>
      </c>
      <c r="E744" s="33">
        <v>0.14399999999999999</v>
      </c>
      <c r="F744" s="33">
        <f>SCE_Ds[[#This Row],[With Margins ($)]]-SCE_Ds[[#This Row],[ without Margins ( $)]]</f>
        <v>0</v>
      </c>
      <c r="G744" s="11" t="str">
        <f>IF(E743&lt;0.5,"Low", "High")</f>
        <v>Low</v>
      </c>
      <c r="H744" s="9">
        <f>SCE_Ds[[#This Row],[Margins ($)]]/SCE_Ds[[#This Row],[With Margins ($)]]</f>
        <v>0</v>
      </c>
    </row>
    <row r="745" spans="1:8" x14ac:dyDescent="0.3">
      <c r="A745">
        <v>486110</v>
      </c>
      <c r="B745" t="s">
        <v>696</v>
      </c>
      <c r="C745" s="33">
        <v>1.619</v>
      </c>
      <c r="D745" s="34">
        <v>0</v>
      </c>
      <c r="E745" s="33">
        <v>1.619</v>
      </c>
      <c r="F745" s="33">
        <f>SCE_Ds[[#This Row],[With Margins ($)]]-SCE_Ds[[#This Row],[ without Margins ( $)]]</f>
        <v>0</v>
      </c>
      <c r="G745" s="11" t="str">
        <f>IF(E744&lt;0.5,"Low", "High")</f>
        <v>Low</v>
      </c>
      <c r="H745" s="9">
        <f>SCE_Ds[[#This Row],[Margins ($)]]/SCE_Ds[[#This Row],[With Margins ($)]]</f>
        <v>0</v>
      </c>
    </row>
    <row r="746" spans="1:8" x14ac:dyDescent="0.3">
      <c r="A746">
        <v>486210</v>
      </c>
      <c r="B746" t="s">
        <v>697</v>
      </c>
      <c r="C746" s="33">
        <v>1.619</v>
      </c>
      <c r="D746" s="34">
        <v>0</v>
      </c>
      <c r="E746" s="33">
        <v>1.619</v>
      </c>
      <c r="F746" s="33">
        <f>SCE_Ds[[#This Row],[With Margins ($)]]-SCE_Ds[[#This Row],[ without Margins ( $)]]</f>
        <v>0</v>
      </c>
      <c r="G746" s="11" t="str">
        <f>IF(E745&lt;0.5,"Low", "High")</f>
        <v>High</v>
      </c>
      <c r="H746" s="9">
        <f>SCE_Ds[[#This Row],[Margins ($)]]/SCE_Ds[[#This Row],[With Margins ($)]]</f>
        <v>0</v>
      </c>
    </row>
    <row r="747" spans="1:8" x14ac:dyDescent="0.3">
      <c r="A747">
        <v>486910</v>
      </c>
      <c r="B747" t="s">
        <v>698</v>
      </c>
      <c r="C747" s="33">
        <v>1.619</v>
      </c>
      <c r="D747" s="34">
        <v>0</v>
      </c>
      <c r="E747" s="33">
        <v>1.619</v>
      </c>
      <c r="F747" s="33">
        <f>SCE_Ds[[#This Row],[With Margins ($)]]-SCE_Ds[[#This Row],[ without Margins ( $)]]</f>
        <v>0</v>
      </c>
      <c r="G747" s="11" t="str">
        <f>IF(E746&lt;0.5,"Low", "High")</f>
        <v>High</v>
      </c>
      <c r="H747" s="9">
        <f>SCE_Ds[[#This Row],[Margins ($)]]/SCE_Ds[[#This Row],[With Margins ($)]]</f>
        <v>0</v>
      </c>
    </row>
    <row r="748" spans="1:8" x14ac:dyDescent="0.3">
      <c r="A748">
        <v>326111</v>
      </c>
      <c r="B748" t="s">
        <v>289</v>
      </c>
      <c r="C748" s="33">
        <v>0.52100000000000002</v>
      </c>
      <c r="D748" s="34">
        <v>2.3E-2</v>
      </c>
      <c r="E748" s="33">
        <v>0.54400000000000004</v>
      </c>
      <c r="F748" s="33">
        <f>SCE_Ds[[#This Row],[With Margins ($)]]-SCE_Ds[[#This Row],[ without Margins ( $)]]</f>
        <v>2.300000000000002E-2</v>
      </c>
      <c r="G748" s="11" t="str">
        <f>IF(E747&lt;0.5,"Low", "High")</f>
        <v>High</v>
      </c>
      <c r="H748" s="9">
        <f>SCE_Ds[[#This Row],[Margins ($)]]/SCE_Ds[[#This Row],[With Margins ($)]]</f>
        <v>4.2279411764705878E-2</v>
      </c>
    </row>
    <row r="749" spans="1:8" x14ac:dyDescent="0.3">
      <c r="A749">
        <v>326160</v>
      </c>
      <c r="B749" t="s">
        <v>297</v>
      </c>
      <c r="C749" s="33">
        <v>0.55300000000000005</v>
      </c>
      <c r="D749" s="33">
        <v>2.5000000000000001E-2</v>
      </c>
      <c r="E749" s="33">
        <v>0.57899999999999996</v>
      </c>
      <c r="F749" s="33">
        <f>SCE_Ds[[#This Row],[With Margins ($)]]-SCE_Ds[[#This Row],[ without Margins ( $)]]</f>
        <v>2.5999999999999912E-2</v>
      </c>
      <c r="G749" s="11" t="str">
        <f>IF(E748&lt;0.5,"Low", "High")</f>
        <v>High</v>
      </c>
      <c r="H749" s="9">
        <f>SCE_Ds[[#This Row],[Margins ($)]]/SCE_Ds[[#This Row],[With Margins ($)]]</f>
        <v>4.3177892918825567E-2</v>
      </c>
    </row>
    <row r="750" spans="1:8" x14ac:dyDescent="0.3">
      <c r="A750">
        <v>325211</v>
      </c>
      <c r="B750" t="s">
        <v>265</v>
      </c>
      <c r="C750" s="33">
        <v>1.022</v>
      </c>
      <c r="D750" s="34">
        <v>2.4E-2</v>
      </c>
      <c r="E750" s="33">
        <v>1.0449999999999999</v>
      </c>
      <c r="F750" s="33">
        <f>SCE_Ds[[#This Row],[With Margins ($)]]-SCE_Ds[[#This Row],[ without Margins ( $)]]</f>
        <v>2.2999999999999909E-2</v>
      </c>
      <c r="G750" s="11" t="str">
        <f>IF(E749&lt;0.5,"Low", "High")</f>
        <v>High</v>
      </c>
      <c r="H750" s="9">
        <f>SCE_Ds[[#This Row],[Margins ($)]]/SCE_Ds[[#This Row],[With Margins ($)]]</f>
        <v>2.2966507177033496E-2</v>
      </c>
    </row>
    <row r="751" spans="1:8" x14ac:dyDescent="0.3">
      <c r="A751">
        <v>424610</v>
      </c>
      <c r="B751" t="s">
        <v>585</v>
      </c>
      <c r="C751" s="33">
        <v>0.14399999999999999</v>
      </c>
      <c r="D751" s="33">
        <v>0</v>
      </c>
      <c r="E751" s="33">
        <v>0.14399999999999999</v>
      </c>
      <c r="F751" s="33">
        <f>SCE_Ds[[#This Row],[With Margins ($)]]-SCE_Ds[[#This Row],[ without Margins ( $)]]</f>
        <v>0</v>
      </c>
      <c r="G751" s="11" t="str">
        <f>IF(E750&lt;0.5,"Low", "High")</f>
        <v>High</v>
      </c>
      <c r="H751" s="9">
        <f>SCE_Ds[[#This Row],[Margins ($)]]/SCE_Ds[[#This Row],[With Margins ($)]]</f>
        <v>0</v>
      </c>
    </row>
    <row r="752" spans="1:8" x14ac:dyDescent="0.3">
      <c r="A752">
        <v>326112</v>
      </c>
      <c r="B752" t="s">
        <v>290</v>
      </c>
      <c r="C752" s="33">
        <v>0.52100000000000002</v>
      </c>
      <c r="D752" s="34">
        <v>2.3E-2</v>
      </c>
      <c r="E752" s="33">
        <v>0.54400000000000004</v>
      </c>
      <c r="F752" s="33">
        <f>SCE_Ds[[#This Row],[With Margins ($)]]-SCE_Ds[[#This Row],[ without Margins ( $)]]</f>
        <v>2.300000000000002E-2</v>
      </c>
      <c r="G752" s="11" t="str">
        <f>IF(E751&lt;0.5,"Low", "High")</f>
        <v>Low</v>
      </c>
      <c r="H752" s="9">
        <f>SCE_Ds[[#This Row],[Margins ($)]]/SCE_Ds[[#This Row],[With Margins ($)]]</f>
        <v>4.2279411764705878E-2</v>
      </c>
    </row>
    <row r="753" spans="1:8" x14ac:dyDescent="0.3">
      <c r="A753">
        <v>326122</v>
      </c>
      <c r="B753" t="s">
        <v>293</v>
      </c>
      <c r="C753" s="33">
        <v>0.33200000000000002</v>
      </c>
      <c r="D753" s="33">
        <v>1.9E-2</v>
      </c>
      <c r="E753" s="33">
        <v>0.35099999999999998</v>
      </c>
      <c r="F753" s="33">
        <f>SCE_Ds[[#This Row],[With Margins ($)]]-SCE_Ds[[#This Row],[ without Margins ( $)]]</f>
        <v>1.8999999999999961E-2</v>
      </c>
      <c r="G753" s="11" t="str">
        <f>IF(E752&lt;0.5,"Low", "High")</f>
        <v>High</v>
      </c>
      <c r="H753" s="9">
        <f>SCE_Ds[[#This Row],[Margins ($)]]/SCE_Ds[[#This Row],[With Margins ($)]]</f>
        <v>5.4131054131054131E-2</v>
      </c>
    </row>
    <row r="754" spans="1:8" x14ac:dyDescent="0.3">
      <c r="A754">
        <v>326191</v>
      </c>
      <c r="B754" t="s">
        <v>298</v>
      </c>
      <c r="C754" s="33">
        <v>0.34399999999999997</v>
      </c>
      <c r="D754" s="34">
        <v>2.7E-2</v>
      </c>
      <c r="E754" s="33">
        <v>0.371</v>
      </c>
      <c r="F754" s="33">
        <f>SCE_Ds[[#This Row],[With Margins ($)]]-SCE_Ds[[#This Row],[ without Margins ( $)]]</f>
        <v>2.7000000000000024E-2</v>
      </c>
      <c r="G754" s="11" t="str">
        <f>IF(E753&lt;0.5,"Low", "High")</f>
        <v>Low</v>
      </c>
      <c r="H754" s="9">
        <f>SCE_Ds[[#This Row],[Margins ($)]]/SCE_Ds[[#This Row],[With Margins ($)]]</f>
        <v>7.277628032345014E-2</v>
      </c>
    </row>
    <row r="755" spans="1:8" x14ac:dyDescent="0.3">
      <c r="A755">
        <v>332313</v>
      </c>
      <c r="B755" t="s">
        <v>351</v>
      </c>
      <c r="C755" s="33">
        <v>0.246</v>
      </c>
      <c r="D755" s="33">
        <v>1.7000000000000001E-2</v>
      </c>
      <c r="E755" s="33">
        <v>0.26200000000000001</v>
      </c>
      <c r="F755" s="33">
        <f>SCE_Ds[[#This Row],[With Margins ($)]]-SCE_Ds[[#This Row],[ without Margins ( $)]]</f>
        <v>1.6000000000000014E-2</v>
      </c>
      <c r="G755" s="11" t="str">
        <f>IF(E754&lt;0.5,"Low", "High")</f>
        <v>Low</v>
      </c>
      <c r="H755" s="9">
        <f>SCE_Ds[[#This Row],[Margins ($)]]/SCE_Ds[[#This Row],[With Margins ($)]]</f>
        <v>6.4885496183206104E-2</v>
      </c>
    </row>
    <row r="756" spans="1:8" x14ac:dyDescent="0.3">
      <c r="A756">
        <v>423720</v>
      </c>
      <c r="B756" t="s">
        <v>550</v>
      </c>
      <c r="C756" s="33">
        <v>0.108</v>
      </c>
      <c r="D756" s="33">
        <v>0</v>
      </c>
      <c r="E756" s="33">
        <v>0.108</v>
      </c>
      <c r="F756" s="33">
        <f>SCE_Ds[[#This Row],[With Margins ($)]]-SCE_Ds[[#This Row],[ without Margins ( $)]]</f>
        <v>0</v>
      </c>
      <c r="G756" s="11" t="str">
        <f>IF(E755&lt;0.5,"Low", "High")</f>
        <v>Low</v>
      </c>
      <c r="H756" s="9">
        <f>SCE_Ds[[#This Row],[Margins ($)]]/SCE_Ds[[#This Row],[With Margins ($)]]</f>
        <v>0</v>
      </c>
    </row>
    <row r="757" spans="1:8" x14ac:dyDescent="0.3">
      <c r="A757">
        <v>332913</v>
      </c>
      <c r="B757" t="s">
        <v>371</v>
      </c>
      <c r="C757" s="33">
        <v>0.126</v>
      </c>
      <c r="D757" s="33">
        <v>4.4999999999999998E-2</v>
      </c>
      <c r="E757" s="33">
        <v>0.17100000000000001</v>
      </c>
      <c r="F757" s="33">
        <f>SCE_Ds[[#This Row],[With Margins ($)]]-SCE_Ds[[#This Row],[ without Margins ( $)]]</f>
        <v>4.5000000000000012E-2</v>
      </c>
      <c r="G757" s="11" t="str">
        <f>IF(E756&lt;0.5,"Low", "High")</f>
        <v>Low</v>
      </c>
      <c r="H757" s="9">
        <f>SCE_Ds[[#This Row],[Margins ($)]]/SCE_Ds[[#This Row],[With Margins ($)]]</f>
        <v>0.26315789473684209</v>
      </c>
    </row>
    <row r="758" spans="1:8" x14ac:dyDescent="0.3">
      <c r="A758">
        <v>238220</v>
      </c>
      <c r="B758" t="s">
        <v>137</v>
      </c>
      <c r="C758" s="33">
        <v>0.221</v>
      </c>
      <c r="D758" s="33">
        <v>0</v>
      </c>
      <c r="E758" s="33">
        <v>0.221</v>
      </c>
      <c r="F758" s="33">
        <f>SCE_Ds[[#This Row],[With Margins ($)]]-SCE_Ds[[#This Row],[ without Margins ( $)]]</f>
        <v>0</v>
      </c>
      <c r="G758" s="11" t="str">
        <f>IF(E757&lt;0.5,"Low", "High")</f>
        <v>Low</v>
      </c>
      <c r="H758" s="9">
        <f>SCE_Ds[[#This Row],[Margins ($)]]/SCE_Ds[[#This Row],[With Margins ($)]]</f>
        <v>0</v>
      </c>
    </row>
    <row r="759" spans="1:8" x14ac:dyDescent="0.3">
      <c r="A759">
        <v>325612</v>
      </c>
      <c r="B759" t="s">
        <v>280</v>
      </c>
      <c r="C759" s="33">
        <v>0.315</v>
      </c>
      <c r="D759" s="33">
        <v>0.04</v>
      </c>
      <c r="E759" s="33">
        <v>0.35499999999999998</v>
      </c>
      <c r="F759" s="33">
        <f>SCE_Ds[[#This Row],[With Margins ($)]]-SCE_Ds[[#This Row],[ without Margins ( $)]]</f>
        <v>3.999999999999998E-2</v>
      </c>
      <c r="G759" s="11" t="str">
        <f>IF(E758&lt;0.5,"Low", "High")</f>
        <v>Low</v>
      </c>
      <c r="H759" s="9">
        <f>SCE_Ds[[#This Row],[Margins ($)]]/SCE_Ds[[#This Row],[With Margins ($)]]</f>
        <v>0.11267605633802817</v>
      </c>
    </row>
    <row r="760" spans="1:8" x14ac:dyDescent="0.3">
      <c r="A760">
        <v>813940</v>
      </c>
      <c r="B760" t="s">
        <v>1080</v>
      </c>
      <c r="C760" s="33">
        <v>0.128</v>
      </c>
      <c r="D760" s="33">
        <v>0</v>
      </c>
      <c r="E760" s="33">
        <v>0.128</v>
      </c>
      <c r="F760" s="33">
        <f>SCE_Ds[[#This Row],[With Margins ($)]]-SCE_Ds[[#This Row],[ without Margins ( $)]]</f>
        <v>0</v>
      </c>
      <c r="G760" s="11" t="str">
        <f>IF(E759&lt;0.5,"Low", "High")</f>
        <v>Low</v>
      </c>
      <c r="H760" s="9">
        <f>SCE_Ds[[#This Row],[Margins ($)]]/SCE_Ds[[#This Row],[With Margins ($)]]</f>
        <v>0</v>
      </c>
    </row>
    <row r="761" spans="1:8" x14ac:dyDescent="0.3">
      <c r="A761">
        <v>326140</v>
      </c>
      <c r="B761" t="s">
        <v>295</v>
      </c>
      <c r="C761" s="33">
        <v>0.247</v>
      </c>
      <c r="D761" s="33">
        <v>2.4E-2</v>
      </c>
      <c r="E761" s="33">
        <v>0.27100000000000002</v>
      </c>
      <c r="F761" s="33">
        <f>SCE_Ds[[#This Row],[With Margins ($)]]-SCE_Ds[[#This Row],[ without Margins ( $)]]</f>
        <v>2.4000000000000021E-2</v>
      </c>
      <c r="G761" s="11" t="str">
        <f>IF(E760&lt;0.5,"Low", "High")</f>
        <v>Low</v>
      </c>
      <c r="H761" s="9">
        <f>SCE_Ds[[#This Row],[Margins ($)]]/SCE_Ds[[#This Row],[With Margins ($)]]</f>
        <v>8.8560885608856083E-2</v>
      </c>
    </row>
    <row r="762" spans="1:8" x14ac:dyDescent="0.3">
      <c r="A762">
        <v>488310</v>
      </c>
      <c r="B762" t="s">
        <v>708</v>
      </c>
      <c r="C762" s="33">
        <v>0.16200000000000001</v>
      </c>
      <c r="D762" s="33">
        <v>0</v>
      </c>
      <c r="E762" s="33">
        <v>0.16200000000000001</v>
      </c>
      <c r="F762" s="33">
        <f>SCE_Ds[[#This Row],[With Margins ($)]]-SCE_Ds[[#This Row],[ without Margins ( $)]]</f>
        <v>0</v>
      </c>
      <c r="G762" s="11" t="str">
        <f>IF(E761&lt;0.5,"Low", "High")</f>
        <v>Low</v>
      </c>
      <c r="H762" s="9">
        <f>SCE_Ds[[#This Row],[Margins ($)]]/SCE_Ds[[#This Row],[With Margins ($)]]</f>
        <v>0</v>
      </c>
    </row>
    <row r="763" spans="1:8" x14ac:dyDescent="0.3">
      <c r="A763">
        <v>523920</v>
      </c>
      <c r="B763" t="s">
        <v>782</v>
      </c>
      <c r="C763" s="33">
        <v>6.6000000000000003E-2</v>
      </c>
      <c r="D763" s="33">
        <v>0</v>
      </c>
      <c r="E763" s="33">
        <v>6.6000000000000003E-2</v>
      </c>
      <c r="F763" s="33">
        <f>SCE_Ds[[#This Row],[With Margins ($)]]-SCE_Ds[[#This Row],[ without Margins ( $)]]</f>
        <v>0</v>
      </c>
      <c r="G763" s="11" t="str">
        <f>IF(E762&lt;0.5,"Low", "High")</f>
        <v>Low</v>
      </c>
      <c r="H763" s="9">
        <f>SCE_Ds[[#This Row],[Margins ($)]]/SCE_Ds[[#This Row],[With Margins ($)]]</f>
        <v>0</v>
      </c>
    </row>
    <row r="764" spans="1:8" x14ac:dyDescent="0.3">
      <c r="A764">
        <v>491110</v>
      </c>
      <c r="B764" t="s">
        <v>717</v>
      </c>
      <c r="C764" s="33">
        <v>7.3999999999999996E-2</v>
      </c>
      <c r="D764" s="33">
        <v>0</v>
      </c>
      <c r="E764" s="33">
        <v>7.3999999999999996E-2</v>
      </c>
      <c r="F764" s="33">
        <f>SCE_Ds[[#This Row],[With Margins ($)]]-SCE_Ds[[#This Row],[ without Margins ( $)]]</f>
        <v>0</v>
      </c>
      <c r="G764" s="11" t="str">
        <f>IF(E763&lt;0.5,"Low", "High")</f>
        <v>Low</v>
      </c>
      <c r="H764" s="9">
        <f>SCE_Ds[[#This Row],[Margins ($)]]/SCE_Ds[[#This Row],[With Margins ($)]]</f>
        <v>0</v>
      </c>
    </row>
    <row r="765" spans="1:8" x14ac:dyDescent="0.3">
      <c r="A765">
        <v>115114</v>
      </c>
      <c r="B765" t="s">
        <v>69</v>
      </c>
      <c r="C765" s="33">
        <v>0.38400000000000001</v>
      </c>
      <c r="D765" s="33">
        <v>0</v>
      </c>
      <c r="E765" s="33">
        <v>0.38400000000000001</v>
      </c>
      <c r="F765" s="33">
        <f>SCE_Ds[[#This Row],[With Margins ($)]]-SCE_Ds[[#This Row],[ without Margins ( $)]]</f>
        <v>0</v>
      </c>
      <c r="G765" s="11" t="str">
        <f>IF(E764&lt;0.5,"Low", "High")</f>
        <v>Low</v>
      </c>
      <c r="H765" s="9">
        <f>SCE_Ds[[#This Row],[Margins ($)]]/SCE_Ds[[#This Row],[With Margins ($)]]</f>
        <v>0</v>
      </c>
    </row>
    <row r="766" spans="1:8" x14ac:dyDescent="0.3">
      <c r="A766">
        <v>212391</v>
      </c>
      <c r="B766" t="s">
        <v>95</v>
      </c>
      <c r="C766" s="33">
        <v>0.184</v>
      </c>
      <c r="D766" s="33">
        <v>0.125</v>
      </c>
      <c r="E766" s="33">
        <v>0.309</v>
      </c>
      <c r="F766" s="33">
        <f>SCE_Ds[[#This Row],[With Margins ($)]]-SCE_Ds[[#This Row],[ without Margins ( $)]]</f>
        <v>0.125</v>
      </c>
      <c r="G766" s="11" t="str">
        <f>IF(E765&lt;0.5,"Low", "High")</f>
        <v>Low</v>
      </c>
      <c r="H766" s="9">
        <f>SCE_Ds[[#This Row],[Margins ($)]]/SCE_Ds[[#This Row],[With Margins ($)]]</f>
        <v>0.4045307443365696</v>
      </c>
    </row>
    <row r="767" spans="1:8" x14ac:dyDescent="0.3">
      <c r="A767">
        <v>111211</v>
      </c>
      <c r="B767" t="s">
        <v>16</v>
      </c>
      <c r="C767" s="33">
        <v>0.59099999999999997</v>
      </c>
      <c r="D767" s="34">
        <v>4.1000000000000002E-2</v>
      </c>
      <c r="E767" s="33">
        <v>0.63100000000000001</v>
      </c>
      <c r="F767" s="33">
        <f>SCE_Ds[[#This Row],[With Margins ($)]]-SCE_Ds[[#This Row],[ without Margins ( $)]]</f>
        <v>4.0000000000000036E-2</v>
      </c>
      <c r="G767" s="11" t="str">
        <f>IF(E766&lt;0.5,"Low", "High")</f>
        <v>Low</v>
      </c>
      <c r="H767" s="9">
        <f>SCE_Ds[[#This Row],[Margins ($)]]/SCE_Ds[[#This Row],[With Margins ($)]]</f>
        <v>6.4976228209191758E-2</v>
      </c>
    </row>
    <row r="768" spans="1:8" x14ac:dyDescent="0.3">
      <c r="A768">
        <v>327110</v>
      </c>
      <c r="B768" t="s">
        <v>305</v>
      </c>
      <c r="C768" s="33">
        <v>0.39900000000000002</v>
      </c>
      <c r="D768" s="33">
        <v>5.1999999999999998E-2</v>
      </c>
      <c r="E768" s="33">
        <v>0.45100000000000001</v>
      </c>
      <c r="F768" s="33">
        <f>SCE_Ds[[#This Row],[With Margins ($)]]-SCE_Ds[[#This Row],[ without Margins ( $)]]</f>
        <v>5.1999999999999991E-2</v>
      </c>
      <c r="G768" s="11" t="str">
        <f>IF(E767&lt;0.5,"Low", "High")</f>
        <v>High</v>
      </c>
      <c r="H768" s="9">
        <f>SCE_Ds[[#This Row],[Margins ($)]]/SCE_Ds[[#This Row],[With Margins ($)]]</f>
        <v>0.11529933481152993</v>
      </c>
    </row>
    <row r="769" spans="1:8" x14ac:dyDescent="0.3">
      <c r="A769">
        <v>424440</v>
      </c>
      <c r="B769" t="s">
        <v>576</v>
      </c>
      <c r="C769" s="33">
        <v>0.159</v>
      </c>
      <c r="D769" s="33">
        <v>0</v>
      </c>
      <c r="E769" s="33">
        <v>0.159</v>
      </c>
      <c r="F769" s="33">
        <f>SCE_Ds[[#This Row],[With Margins ($)]]-SCE_Ds[[#This Row],[ without Margins ( $)]]</f>
        <v>0</v>
      </c>
      <c r="G769" s="11" t="str">
        <f>IF(E768&lt;0.5,"Low", "High")</f>
        <v>Low</v>
      </c>
      <c r="H769" s="9">
        <f>SCE_Ds[[#This Row],[Margins ($)]]/SCE_Ds[[#This Row],[With Margins ($)]]</f>
        <v>0</v>
      </c>
    </row>
    <row r="770" spans="1:8" x14ac:dyDescent="0.3">
      <c r="A770">
        <v>112340</v>
      </c>
      <c r="B770" t="s">
        <v>48</v>
      </c>
      <c r="C770" s="33">
        <v>0.40699999999999997</v>
      </c>
      <c r="D770" s="33">
        <v>3.1E-2</v>
      </c>
      <c r="E770" s="33">
        <v>0.438</v>
      </c>
      <c r="F770" s="33">
        <f>SCE_Ds[[#This Row],[With Margins ($)]]-SCE_Ds[[#This Row],[ without Margins ( $)]]</f>
        <v>3.1000000000000028E-2</v>
      </c>
      <c r="G770" s="11" t="str">
        <f>IF(E769&lt;0.5,"Low", "High")</f>
        <v>Low</v>
      </c>
      <c r="H770" s="9">
        <f>SCE_Ds[[#This Row],[Margins ($)]]/SCE_Ds[[#This Row],[With Margins ($)]]</f>
        <v>7.0776255707762553E-2</v>
      </c>
    </row>
    <row r="771" spans="1:8" x14ac:dyDescent="0.3">
      <c r="A771">
        <v>311615</v>
      </c>
      <c r="B771" t="s">
        <v>176</v>
      </c>
      <c r="C771" s="33">
        <v>0.36099999999999999</v>
      </c>
      <c r="D771" s="34">
        <v>3.1E-2</v>
      </c>
      <c r="E771" s="33">
        <v>0.39100000000000001</v>
      </c>
      <c r="F771" s="33">
        <f>SCE_Ds[[#This Row],[With Margins ($)]]-SCE_Ds[[#This Row],[ without Margins ( $)]]</f>
        <v>3.0000000000000027E-2</v>
      </c>
      <c r="G771" s="11" t="str">
        <f>IF(E770&lt;0.5,"Low", "High")</f>
        <v>Low</v>
      </c>
      <c r="H771" s="9">
        <f>SCE_Ds[[#This Row],[Margins ($)]]/SCE_Ds[[#This Row],[With Margins ($)]]</f>
        <v>7.9283887468030681E-2</v>
      </c>
    </row>
    <row r="772" spans="1:8" x14ac:dyDescent="0.3">
      <c r="A772">
        <v>238110</v>
      </c>
      <c r="B772" t="s">
        <v>127</v>
      </c>
      <c r="C772" s="33">
        <v>0.221</v>
      </c>
      <c r="D772" s="33">
        <v>0</v>
      </c>
      <c r="E772" s="33">
        <v>0.221</v>
      </c>
      <c r="F772" s="33">
        <f>SCE_Ds[[#This Row],[With Margins ($)]]-SCE_Ds[[#This Row],[ without Margins ( $)]]</f>
        <v>0</v>
      </c>
      <c r="G772" s="11" t="str">
        <f>IF(E771&lt;0.5,"Low", "High")</f>
        <v>Low</v>
      </c>
      <c r="H772" s="9">
        <f>SCE_Ds[[#This Row],[Margins ($)]]/SCE_Ds[[#This Row],[With Margins ($)]]</f>
        <v>0</v>
      </c>
    </row>
    <row r="773" spans="1:8" x14ac:dyDescent="0.3">
      <c r="A773">
        <v>332117</v>
      </c>
      <c r="B773" t="s">
        <v>345</v>
      </c>
      <c r="C773" s="33">
        <v>0.47</v>
      </c>
      <c r="D773" s="33">
        <v>2.3E-2</v>
      </c>
      <c r="E773" s="33">
        <v>0.49299999999999999</v>
      </c>
      <c r="F773" s="33">
        <f>SCE_Ds[[#This Row],[With Margins ($)]]-SCE_Ds[[#This Row],[ without Margins ( $)]]</f>
        <v>2.300000000000002E-2</v>
      </c>
      <c r="G773" s="11" t="str">
        <f>IF(E772&lt;0.5,"Low", "High")</f>
        <v>Low</v>
      </c>
      <c r="H773" s="9">
        <f>SCE_Ds[[#This Row],[Margins ($)]]/SCE_Ds[[#This Row],[With Margins ($)]]</f>
        <v>4.665314401622718E-2</v>
      </c>
    </row>
    <row r="774" spans="1:8" x14ac:dyDescent="0.3">
      <c r="A774">
        <v>237130</v>
      </c>
      <c r="B774" t="s">
        <v>120</v>
      </c>
      <c r="C774" s="33">
        <v>0.27700000000000002</v>
      </c>
      <c r="D774" s="33">
        <v>0</v>
      </c>
      <c r="E774" s="33">
        <v>0.27700000000000002</v>
      </c>
      <c r="F774" s="33">
        <f>SCE_Ds[[#This Row],[With Margins ($)]]-SCE_Ds[[#This Row],[ without Margins ( $)]]</f>
        <v>0</v>
      </c>
      <c r="G774" s="11" t="str">
        <f>IF(E773&lt;0.5,"Low", "High")</f>
        <v>Low</v>
      </c>
      <c r="H774" s="9">
        <f>SCE_Ds[[#This Row],[Margins ($)]]/SCE_Ds[[#This Row],[With Margins ($)]]</f>
        <v>0</v>
      </c>
    </row>
    <row r="775" spans="1:8" x14ac:dyDescent="0.3">
      <c r="A775">
        <v>332410</v>
      </c>
      <c r="B775" t="s">
        <v>355</v>
      </c>
      <c r="C775" s="33">
        <v>0.182</v>
      </c>
      <c r="D775" s="33">
        <v>2.7E-2</v>
      </c>
      <c r="E775" s="33">
        <v>0.20899999999999999</v>
      </c>
      <c r="F775" s="33">
        <f>SCE_Ds[[#This Row],[With Margins ($)]]-SCE_Ds[[#This Row],[ without Margins ( $)]]</f>
        <v>2.6999999999999996E-2</v>
      </c>
      <c r="G775" s="11" t="str">
        <f>IF(E774&lt;0.5,"Low", "High")</f>
        <v>Low</v>
      </c>
      <c r="H775" s="9">
        <f>SCE_Ds[[#This Row],[Margins ($)]]/SCE_Ds[[#This Row],[With Margins ($)]]</f>
        <v>0.12918660287081341</v>
      </c>
    </row>
    <row r="776" spans="1:8" x14ac:dyDescent="0.3">
      <c r="A776">
        <v>335311</v>
      </c>
      <c r="B776" t="s">
        <v>455</v>
      </c>
      <c r="C776" s="33">
        <v>0.11799999999999999</v>
      </c>
      <c r="D776" s="33">
        <v>1.4999999999999999E-2</v>
      </c>
      <c r="E776" s="33">
        <v>0.13300000000000001</v>
      </c>
      <c r="F776" s="33">
        <f>SCE_Ds[[#This Row],[With Margins ($)]]-SCE_Ds[[#This Row],[ without Margins ( $)]]</f>
        <v>1.5000000000000013E-2</v>
      </c>
      <c r="G776" s="11" t="str">
        <f>IF(E775&lt;0.5,"Low", "High")</f>
        <v>Low</v>
      </c>
      <c r="H776" s="9">
        <f>SCE_Ds[[#This Row],[Margins ($)]]/SCE_Ds[[#This Row],[With Margins ($)]]</f>
        <v>0.11278195488721804</v>
      </c>
    </row>
    <row r="777" spans="1:8" x14ac:dyDescent="0.3">
      <c r="A777">
        <v>333991</v>
      </c>
      <c r="B777" t="s">
        <v>413</v>
      </c>
      <c r="C777" s="33">
        <v>8.3000000000000004E-2</v>
      </c>
      <c r="D777" s="33">
        <v>5.2999999999999999E-2</v>
      </c>
      <c r="E777" s="33">
        <v>0.13600000000000001</v>
      </c>
      <c r="F777" s="33">
        <f>SCE_Ds[[#This Row],[With Margins ($)]]-SCE_Ds[[#This Row],[ without Margins ( $)]]</f>
        <v>5.3000000000000005E-2</v>
      </c>
      <c r="G777" s="11" t="str">
        <f>IF(E776&lt;0.5,"Low", "High")</f>
        <v>Low</v>
      </c>
      <c r="H777" s="9">
        <f>SCE_Ds[[#This Row],[Margins ($)]]/SCE_Ds[[#This Row],[With Margins ($)]]</f>
        <v>0.38970588235294112</v>
      </c>
    </row>
    <row r="778" spans="1:8" x14ac:dyDescent="0.3">
      <c r="A778">
        <v>332721</v>
      </c>
      <c r="B778" t="s">
        <v>363</v>
      </c>
      <c r="C778" s="33">
        <v>0.222</v>
      </c>
      <c r="D778" s="33">
        <v>2.5999999999999999E-2</v>
      </c>
      <c r="E778" s="33">
        <v>0.248</v>
      </c>
      <c r="F778" s="33">
        <f>SCE_Ds[[#This Row],[With Margins ($)]]-SCE_Ds[[#This Row],[ without Margins ( $)]]</f>
        <v>2.5999999999999995E-2</v>
      </c>
      <c r="G778" s="11" t="str">
        <f>IF(E777&lt;0.5,"Low", "High")</f>
        <v>Low</v>
      </c>
      <c r="H778" s="9">
        <f>SCE_Ds[[#This Row],[Margins ($)]]/SCE_Ds[[#This Row],[With Margins ($)]]</f>
        <v>0.10483870967741934</v>
      </c>
    </row>
    <row r="779" spans="1:8" x14ac:dyDescent="0.3">
      <c r="A779">
        <v>332311</v>
      </c>
      <c r="B779" t="s">
        <v>349</v>
      </c>
      <c r="C779" s="33">
        <v>0.246</v>
      </c>
      <c r="D779" s="33">
        <v>1.7000000000000001E-2</v>
      </c>
      <c r="E779" s="33">
        <v>0.26200000000000001</v>
      </c>
      <c r="F779" s="33">
        <f>SCE_Ds[[#This Row],[With Margins ($)]]-SCE_Ds[[#This Row],[ without Margins ( $)]]</f>
        <v>1.6000000000000014E-2</v>
      </c>
      <c r="G779" s="11" t="str">
        <f>IF(E778&lt;0.5,"Low", "High")</f>
        <v>Low</v>
      </c>
      <c r="H779" s="9">
        <f>SCE_Ds[[#This Row],[Margins ($)]]/SCE_Ds[[#This Row],[With Margins ($)]]</f>
        <v>6.4885496183206104E-2</v>
      </c>
    </row>
    <row r="780" spans="1:8" x14ac:dyDescent="0.3">
      <c r="A780">
        <v>321992</v>
      </c>
      <c r="B780" t="s">
        <v>236</v>
      </c>
      <c r="C780" s="33">
        <v>0.13500000000000001</v>
      </c>
      <c r="D780" s="33">
        <v>2.9000000000000001E-2</v>
      </c>
      <c r="E780" s="33">
        <v>0.16400000000000001</v>
      </c>
      <c r="F780" s="33">
        <f>SCE_Ds[[#This Row],[With Margins ($)]]-SCE_Ds[[#This Row],[ without Margins ( $)]]</f>
        <v>2.8999999999999998E-2</v>
      </c>
      <c r="G780" s="11" t="str">
        <f>IF(E779&lt;0.5,"Low", "High")</f>
        <v>Low</v>
      </c>
      <c r="H780" s="9">
        <f>SCE_Ds[[#This Row],[Margins ($)]]/SCE_Ds[[#This Row],[With Margins ($)]]</f>
        <v>0.17682926829268292</v>
      </c>
    </row>
    <row r="781" spans="1:8" x14ac:dyDescent="0.3">
      <c r="A781">
        <v>335912</v>
      </c>
      <c r="B781" t="s">
        <v>460</v>
      </c>
      <c r="C781" s="33">
        <v>4.5999999999999999E-2</v>
      </c>
      <c r="D781" s="33">
        <v>5.7000000000000002E-2</v>
      </c>
      <c r="E781" s="33">
        <v>0.10299999999999999</v>
      </c>
      <c r="F781" s="33">
        <f>SCE_Ds[[#This Row],[With Margins ($)]]-SCE_Ds[[#This Row],[ without Margins ( $)]]</f>
        <v>5.6999999999999995E-2</v>
      </c>
      <c r="G781" s="11" t="str">
        <f>IF(E780&lt;0.5,"Low", "High")</f>
        <v>Low</v>
      </c>
      <c r="H781" s="9">
        <f>SCE_Ds[[#This Row],[Margins ($)]]/SCE_Ds[[#This Row],[With Margins ($)]]</f>
        <v>0.55339805825242727</v>
      </c>
    </row>
    <row r="782" spans="1:8" x14ac:dyDescent="0.3">
      <c r="A782">
        <v>334418</v>
      </c>
      <c r="B782" t="s">
        <v>435</v>
      </c>
      <c r="C782" s="33">
        <v>6.8000000000000005E-2</v>
      </c>
      <c r="D782" s="33">
        <v>3.3000000000000002E-2</v>
      </c>
      <c r="E782" s="33">
        <v>0.10100000000000001</v>
      </c>
      <c r="F782" s="33">
        <f>SCE_Ds[[#This Row],[With Margins ($)]]-SCE_Ds[[#This Row],[ without Margins ( $)]]</f>
        <v>3.3000000000000002E-2</v>
      </c>
      <c r="G782" s="11" t="str">
        <f>IF(E781&lt;0.5,"Low", "High")</f>
        <v>Low</v>
      </c>
      <c r="H782" s="9">
        <f>SCE_Ds[[#This Row],[Margins ($)]]/SCE_Ds[[#This Row],[With Margins ($)]]</f>
        <v>0.32673267326732675</v>
      </c>
    </row>
    <row r="783" spans="1:8" x14ac:dyDescent="0.3">
      <c r="A783">
        <v>424110</v>
      </c>
      <c r="B783" t="s">
        <v>564</v>
      </c>
      <c r="C783" s="33">
        <v>0.14399999999999999</v>
      </c>
      <c r="D783" s="33">
        <v>0</v>
      </c>
      <c r="E783" s="33">
        <v>0.14399999999999999</v>
      </c>
      <c r="F783" s="33">
        <f>SCE_Ds[[#This Row],[With Margins ($)]]-SCE_Ds[[#This Row],[ without Margins ( $)]]</f>
        <v>0</v>
      </c>
      <c r="G783" s="11" t="str">
        <f>IF(E782&lt;0.5,"Low", "High")</f>
        <v>Low</v>
      </c>
      <c r="H783" s="9">
        <f>SCE_Ds[[#This Row],[Margins ($)]]/SCE_Ds[[#This Row],[With Margins ($)]]</f>
        <v>0</v>
      </c>
    </row>
    <row r="784" spans="1:8" x14ac:dyDescent="0.3">
      <c r="A784">
        <v>325910</v>
      </c>
      <c r="B784" t="s">
        <v>283</v>
      </c>
      <c r="C784" s="33">
        <v>0.35499999999999998</v>
      </c>
      <c r="D784" s="33">
        <v>3.1E-2</v>
      </c>
      <c r="E784" s="33">
        <v>0.38600000000000001</v>
      </c>
      <c r="F784" s="33">
        <f>SCE_Ds[[#This Row],[With Margins ($)]]-SCE_Ds[[#This Row],[ without Margins ( $)]]</f>
        <v>3.1000000000000028E-2</v>
      </c>
      <c r="G784" s="11" t="str">
        <f>IF(E783&lt;0.5,"Low", "High")</f>
        <v>Low</v>
      </c>
      <c r="H784" s="9">
        <f>SCE_Ds[[#This Row],[Margins ($)]]/SCE_Ds[[#This Row],[With Margins ($)]]</f>
        <v>8.0310880829015538E-2</v>
      </c>
    </row>
    <row r="785" spans="1:8" x14ac:dyDescent="0.3">
      <c r="A785">
        <v>333244</v>
      </c>
      <c r="B785" t="s">
        <v>389</v>
      </c>
      <c r="C785" s="33">
        <v>0.16600000000000001</v>
      </c>
      <c r="D785" s="33">
        <v>1.9E-2</v>
      </c>
      <c r="E785" s="33">
        <v>0.185</v>
      </c>
      <c r="F785" s="33">
        <f>SCE_Ds[[#This Row],[With Margins ($)]]-SCE_Ds[[#This Row],[ without Margins ( $)]]</f>
        <v>1.8999999999999989E-2</v>
      </c>
      <c r="G785" s="11" t="str">
        <f>IF(E784&lt;0.5,"Low", "High")</f>
        <v>Low</v>
      </c>
      <c r="H785" s="9">
        <f>SCE_Ds[[#This Row],[Margins ($)]]/SCE_Ds[[#This Row],[With Margins ($)]]</f>
        <v>0.10270270270270269</v>
      </c>
    </row>
    <row r="786" spans="1:8" x14ac:dyDescent="0.3">
      <c r="A786">
        <v>561431</v>
      </c>
      <c r="B786" t="s">
        <v>894</v>
      </c>
      <c r="C786" s="33">
        <v>0.111</v>
      </c>
      <c r="D786" s="33">
        <v>0</v>
      </c>
      <c r="E786" s="33">
        <v>0.111</v>
      </c>
      <c r="F786" s="33">
        <f>SCE_Ds[[#This Row],[With Margins ($)]]-SCE_Ds[[#This Row],[ without Margins ( $)]]</f>
        <v>0</v>
      </c>
      <c r="G786" s="11" t="str">
        <f>IF(E785&lt;0.5,"Low", "High")</f>
        <v>Low</v>
      </c>
      <c r="H786" s="9">
        <f>SCE_Ds[[#This Row],[Margins ($)]]/SCE_Ds[[#This Row],[With Margins ($)]]</f>
        <v>0</v>
      </c>
    </row>
    <row r="787" spans="1:8" x14ac:dyDescent="0.3">
      <c r="A787">
        <v>541614</v>
      </c>
      <c r="B787" t="s">
        <v>858</v>
      </c>
      <c r="C787" s="33">
        <v>7.8E-2</v>
      </c>
      <c r="D787" s="33">
        <v>0</v>
      </c>
      <c r="E787" s="33">
        <v>7.8E-2</v>
      </c>
      <c r="F787" s="33">
        <f>SCE_Ds[[#This Row],[With Margins ($)]]-SCE_Ds[[#This Row],[ without Margins ( $)]]</f>
        <v>0</v>
      </c>
      <c r="G787" s="11" t="str">
        <f>IF(E786&lt;0.5,"Low", "High")</f>
        <v>Low</v>
      </c>
      <c r="H787" s="9">
        <f>SCE_Ds[[#This Row],[Margins ($)]]/SCE_Ds[[#This Row],[With Margins ($)]]</f>
        <v>0</v>
      </c>
    </row>
    <row r="788" spans="1:8" x14ac:dyDescent="0.3">
      <c r="A788">
        <v>611430</v>
      </c>
      <c r="B788" t="s">
        <v>936</v>
      </c>
      <c r="C788" s="33">
        <v>0.108</v>
      </c>
      <c r="D788" s="33">
        <v>0</v>
      </c>
      <c r="E788" s="33">
        <v>0.108</v>
      </c>
      <c r="F788" s="33">
        <f>SCE_Ds[[#This Row],[With Margins ($)]]-SCE_Ds[[#This Row],[ without Margins ( $)]]</f>
        <v>0</v>
      </c>
      <c r="G788" s="11" t="str">
        <f>IF(E787&lt;0.5,"Low", "High")</f>
        <v>Low</v>
      </c>
      <c r="H788" s="9">
        <f>SCE_Ds[[#This Row],[Margins ($)]]/SCE_Ds[[#This Row],[With Margins ($)]]</f>
        <v>0</v>
      </c>
    </row>
    <row r="789" spans="1:8" x14ac:dyDescent="0.3">
      <c r="A789">
        <v>561330</v>
      </c>
      <c r="B789" t="s">
        <v>890</v>
      </c>
      <c r="C789" s="33">
        <v>5.0999999999999997E-2</v>
      </c>
      <c r="D789" s="33">
        <v>0</v>
      </c>
      <c r="E789" s="33">
        <v>5.0999999999999997E-2</v>
      </c>
      <c r="F789" s="33">
        <f>SCE_Ds[[#This Row],[With Margins ($)]]-SCE_Ds[[#This Row],[ without Margins ( $)]]</f>
        <v>0</v>
      </c>
      <c r="G789" s="11" t="str">
        <f>IF(E788&lt;0.5,"Low", "High")</f>
        <v>Low</v>
      </c>
      <c r="H789" s="9">
        <f>SCE_Ds[[#This Row],[Margins ($)]]/SCE_Ds[[#This Row],[With Margins ($)]]</f>
        <v>0</v>
      </c>
    </row>
    <row r="790" spans="1:8" x14ac:dyDescent="0.3">
      <c r="A790">
        <v>813920</v>
      </c>
      <c r="B790" t="s">
        <v>1078</v>
      </c>
      <c r="C790" s="33">
        <v>0.128</v>
      </c>
      <c r="D790" s="33">
        <v>0</v>
      </c>
      <c r="E790" s="33">
        <v>0.128</v>
      </c>
      <c r="F790" s="33">
        <f>SCE_Ds[[#This Row],[With Margins ($)]]-SCE_Ds[[#This Row],[ without Margins ( $)]]</f>
        <v>0</v>
      </c>
      <c r="G790" s="11" t="str">
        <f>IF(E789&lt;0.5,"Low", "High")</f>
        <v>Low</v>
      </c>
      <c r="H790" s="9">
        <f>SCE_Ds[[#This Row],[Margins ($)]]/SCE_Ds[[#This Row],[With Margins ($)]]</f>
        <v>0</v>
      </c>
    </row>
    <row r="791" spans="1:8" x14ac:dyDescent="0.3">
      <c r="A791">
        <v>711310</v>
      </c>
      <c r="B791" t="s">
        <v>997</v>
      </c>
      <c r="C791" s="33">
        <v>9.2999999999999999E-2</v>
      </c>
      <c r="D791" s="33">
        <v>0</v>
      </c>
      <c r="E791" s="33">
        <v>9.2999999999999999E-2</v>
      </c>
      <c r="F791" s="33">
        <f>SCE_Ds[[#This Row],[With Margins ($)]]-SCE_Ds[[#This Row],[ without Margins ( $)]]</f>
        <v>0</v>
      </c>
      <c r="G791" s="11" t="str">
        <f>IF(E790&lt;0.5,"Low", "High")</f>
        <v>Low</v>
      </c>
      <c r="H791" s="9">
        <f>SCE_Ds[[#This Row],[Margins ($)]]/SCE_Ds[[#This Row],[With Margins ($)]]</f>
        <v>0</v>
      </c>
    </row>
    <row r="792" spans="1:8" x14ac:dyDescent="0.3">
      <c r="A792">
        <v>711320</v>
      </c>
      <c r="B792" t="s">
        <v>999</v>
      </c>
      <c r="C792" s="33">
        <v>9.2999999999999999E-2</v>
      </c>
      <c r="D792" s="33">
        <v>0</v>
      </c>
      <c r="E792" s="33">
        <v>9.2999999999999999E-2</v>
      </c>
      <c r="F792" s="33">
        <f>SCE_Ds[[#This Row],[With Margins ($)]]-SCE_Ds[[#This Row],[ without Margins ( $)]]</f>
        <v>0</v>
      </c>
      <c r="G792" s="11" t="str">
        <f>IF(E791&lt;0.5,"Low", "High")</f>
        <v>Low</v>
      </c>
      <c r="H792" s="9">
        <f>SCE_Ds[[#This Row],[Margins ($)]]/SCE_Ds[[#This Row],[With Margins ($)]]</f>
        <v>0</v>
      </c>
    </row>
    <row r="793" spans="1:8" x14ac:dyDescent="0.3">
      <c r="A793">
        <v>622210</v>
      </c>
      <c r="B793" t="s">
        <v>970</v>
      </c>
      <c r="C793" s="33">
        <v>0.14499999999999999</v>
      </c>
      <c r="D793" s="33">
        <v>0</v>
      </c>
      <c r="E793" s="33">
        <v>0.14499999999999999</v>
      </c>
      <c r="F793" s="33">
        <f>SCE_Ds[[#This Row],[With Margins ($)]]-SCE_Ds[[#This Row],[ without Margins ( $)]]</f>
        <v>0</v>
      </c>
      <c r="G793" s="11" t="str">
        <f>IF(E792&lt;0.5,"Low", "High")</f>
        <v>Low</v>
      </c>
      <c r="H793" s="9">
        <f>SCE_Ds[[#This Row],[Margins ($)]]/SCE_Ds[[#This Row],[With Margins ($)]]</f>
        <v>0</v>
      </c>
    </row>
    <row r="794" spans="1:8" x14ac:dyDescent="0.3">
      <c r="A794">
        <v>541820</v>
      </c>
      <c r="B794" t="s">
        <v>868</v>
      </c>
      <c r="C794" s="33">
        <v>8.5000000000000006E-2</v>
      </c>
      <c r="D794" s="33">
        <v>0</v>
      </c>
      <c r="E794" s="33">
        <v>8.5000000000000006E-2</v>
      </c>
      <c r="F794" s="33">
        <f>SCE_Ds[[#This Row],[With Margins ($)]]-SCE_Ds[[#This Row],[ without Margins ( $)]]</f>
        <v>0</v>
      </c>
      <c r="G794" s="11" t="str">
        <f>IF(E793&lt;0.5,"Low", "High")</f>
        <v>Low</v>
      </c>
      <c r="H794" s="9">
        <f>SCE_Ds[[#This Row],[Margins ($)]]/SCE_Ds[[#This Row],[With Margins ($)]]</f>
        <v>0</v>
      </c>
    </row>
    <row r="795" spans="1:8" x14ac:dyDescent="0.3">
      <c r="A795">
        <v>322110</v>
      </c>
      <c r="B795" t="s">
        <v>238</v>
      </c>
      <c r="C795" s="33">
        <v>0.97699999999999998</v>
      </c>
      <c r="D795" s="33">
        <v>2.5000000000000001E-2</v>
      </c>
      <c r="E795" s="33">
        <v>1.002</v>
      </c>
      <c r="F795" s="33">
        <f>SCE_Ds[[#This Row],[With Margins ($)]]-SCE_Ds[[#This Row],[ without Margins ( $)]]</f>
        <v>2.5000000000000022E-2</v>
      </c>
      <c r="G795" s="11" t="str">
        <f>IF(E794&lt;0.5,"Low", "High")</f>
        <v>Low</v>
      </c>
      <c r="H795" s="9">
        <f>SCE_Ds[[#This Row],[Margins ($)]]/SCE_Ds[[#This Row],[With Margins ($)]]</f>
        <v>2.4950099800399202E-2</v>
      </c>
    </row>
    <row r="796" spans="1:8" x14ac:dyDescent="0.3">
      <c r="A796">
        <v>711212</v>
      </c>
      <c r="B796" t="s">
        <v>995</v>
      </c>
      <c r="C796" s="33">
        <v>6.7000000000000004E-2</v>
      </c>
      <c r="D796" s="33">
        <v>0</v>
      </c>
      <c r="E796" s="33">
        <v>6.7000000000000004E-2</v>
      </c>
      <c r="F796" s="33">
        <f>SCE_Ds[[#This Row],[With Margins ($)]]-SCE_Ds[[#This Row],[ without Margins ( $)]]</f>
        <v>0</v>
      </c>
      <c r="G796" s="11" t="str">
        <f>IF(E795&lt;0.5,"Low", "High")</f>
        <v>High</v>
      </c>
      <c r="H796" s="9">
        <f>SCE_Ds[[#This Row],[Margins ($)]]/SCE_Ds[[#This Row],[With Margins ($)]]</f>
        <v>0</v>
      </c>
    </row>
    <row r="797" spans="1:8" x14ac:dyDescent="0.3">
      <c r="A797">
        <v>334220</v>
      </c>
      <c r="B797" t="s">
        <v>427</v>
      </c>
      <c r="C797" s="33">
        <v>6.5000000000000002E-2</v>
      </c>
      <c r="D797" s="33">
        <v>4.7E-2</v>
      </c>
      <c r="E797" s="33">
        <v>0.111</v>
      </c>
      <c r="F797" s="33">
        <f>SCE_Ds[[#This Row],[With Margins ($)]]-SCE_Ds[[#This Row],[ without Margins ( $)]]</f>
        <v>4.5999999999999999E-2</v>
      </c>
      <c r="G797" s="11" t="str">
        <f>IF(E796&lt;0.5,"Low", "High")</f>
        <v>Low</v>
      </c>
      <c r="H797" s="9">
        <f>SCE_Ds[[#This Row],[Margins ($)]]/SCE_Ds[[#This Row],[With Margins ($)]]</f>
        <v>0.42342342342342343</v>
      </c>
    </row>
    <row r="798" spans="1:8" x14ac:dyDescent="0.3">
      <c r="A798">
        <v>515111</v>
      </c>
      <c r="B798" t="s">
        <v>742</v>
      </c>
      <c r="C798" s="33">
        <v>7.9000000000000001E-2</v>
      </c>
      <c r="D798" s="33">
        <v>0</v>
      </c>
      <c r="E798" s="33">
        <v>7.9000000000000001E-2</v>
      </c>
      <c r="F798" s="33">
        <f>SCE_Ds[[#This Row],[With Margins ($)]]-SCE_Ds[[#This Row],[ without Margins ( $)]]</f>
        <v>0</v>
      </c>
      <c r="G798" s="11" t="str">
        <f>IF(E797&lt;0.5,"Low", "High")</f>
        <v>Low</v>
      </c>
      <c r="H798" s="9">
        <f>SCE_Ds[[#This Row],[Margins ($)]]/SCE_Ds[[#This Row],[With Margins ($)]]</f>
        <v>0</v>
      </c>
    </row>
    <row r="799" spans="1:8" x14ac:dyDescent="0.3">
      <c r="A799">
        <v>515112</v>
      </c>
      <c r="B799" t="s">
        <v>743</v>
      </c>
      <c r="C799" s="33">
        <v>7.9000000000000001E-2</v>
      </c>
      <c r="D799" s="33">
        <v>0</v>
      </c>
      <c r="E799" s="33">
        <v>7.9000000000000001E-2</v>
      </c>
      <c r="F799" s="33">
        <f>SCE_Ds[[#This Row],[With Margins ($)]]-SCE_Ds[[#This Row],[ without Margins ( $)]]</f>
        <v>0</v>
      </c>
      <c r="G799" s="11" t="str">
        <f>IF(E798&lt;0.5,"Low", "High")</f>
        <v>Low</v>
      </c>
      <c r="H799" s="9">
        <f>SCE_Ds[[#This Row],[Margins ($)]]/SCE_Ds[[#This Row],[With Margins ($)]]</f>
        <v>0</v>
      </c>
    </row>
    <row r="800" spans="1:8" x14ac:dyDescent="0.3">
      <c r="A800">
        <v>336510</v>
      </c>
      <c r="B800" t="s">
        <v>490</v>
      </c>
      <c r="C800" s="33">
        <v>0.41299999999999998</v>
      </c>
      <c r="D800" s="33">
        <v>3.1E-2</v>
      </c>
      <c r="E800" s="33">
        <v>0.44400000000000001</v>
      </c>
      <c r="F800" s="33">
        <f>SCE_Ds[[#This Row],[With Margins ($)]]-SCE_Ds[[#This Row],[ without Margins ( $)]]</f>
        <v>3.1000000000000028E-2</v>
      </c>
      <c r="G800" s="11" t="str">
        <f>IF(E799&lt;0.5,"Low", "High")</f>
        <v>Low</v>
      </c>
      <c r="H800" s="9">
        <f>SCE_Ds[[#This Row],[Margins ($)]]/SCE_Ds[[#This Row],[With Margins ($)]]</f>
        <v>6.9819819819819814E-2</v>
      </c>
    </row>
    <row r="801" spans="1:8" x14ac:dyDescent="0.3">
      <c r="A801">
        <v>327320</v>
      </c>
      <c r="B801" t="s">
        <v>312</v>
      </c>
      <c r="C801" s="33">
        <v>0.54</v>
      </c>
      <c r="D801" s="34">
        <v>6.7000000000000004E-2</v>
      </c>
      <c r="E801" s="33">
        <v>0.60599999999999998</v>
      </c>
      <c r="F801" s="33">
        <f>SCE_Ds[[#This Row],[With Margins ($)]]-SCE_Ds[[#This Row],[ without Margins ( $)]]</f>
        <v>6.5999999999999948E-2</v>
      </c>
      <c r="G801" s="11" t="str">
        <f>IF(E800&lt;0.5,"Low", "High")</f>
        <v>Low</v>
      </c>
      <c r="H801" s="9">
        <f>SCE_Ds[[#This Row],[Margins ($)]]/SCE_Ds[[#This Row],[With Margins ($)]]</f>
        <v>0.11056105610561057</v>
      </c>
    </row>
    <row r="802" spans="1:8" x14ac:dyDescent="0.3">
      <c r="A802">
        <v>522292</v>
      </c>
      <c r="B802" t="s">
        <v>768</v>
      </c>
      <c r="C802" s="33">
        <v>7.1999999999999995E-2</v>
      </c>
      <c r="D802" s="33">
        <v>0</v>
      </c>
      <c r="E802" s="33">
        <v>7.1999999999999995E-2</v>
      </c>
      <c r="F802" s="33">
        <f>SCE_Ds[[#This Row],[With Margins ($)]]-SCE_Ds[[#This Row],[ without Margins ( $)]]</f>
        <v>0</v>
      </c>
      <c r="G802" s="11" t="str">
        <f>IF(E801&lt;0.5,"Low", "High")</f>
        <v>High</v>
      </c>
      <c r="H802" s="9">
        <f>SCE_Ds[[#This Row],[Margins ($)]]/SCE_Ds[[#This Row],[With Margins ($)]]</f>
        <v>0</v>
      </c>
    </row>
    <row r="803" spans="1:8" x14ac:dyDescent="0.3">
      <c r="A803">
        <v>321219</v>
      </c>
      <c r="B803" t="s">
        <v>229</v>
      </c>
      <c r="C803" s="33">
        <v>0.187</v>
      </c>
      <c r="D803" s="33">
        <v>2.1000000000000001E-2</v>
      </c>
      <c r="E803" s="33">
        <v>0.20799999999999999</v>
      </c>
      <c r="F803" s="33">
        <f>SCE_Ds[[#This Row],[With Margins ($)]]-SCE_Ds[[#This Row],[ without Margins ( $)]]</f>
        <v>2.0999999999999991E-2</v>
      </c>
      <c r="G803" s="11" t="str">
        <f>IF(E802&lt;0.5,"Low", "High")</f>
        <v>Low</v>
      </c>
      <c r="H803" s="9">
        <f>SCE_Ds[[#This Row],[Margins ($)]]/SCE_Ds[[#This Row],[With Margins ($)]]</f>
        <v>0.10096153846153848</v>
      </c>
    </row>
    <row r="804" spans="1:8" x14ac:dyDescent="0.3">
      <c r="A804">
        <v>512250</v>
      </c>
      <c r="B804" t="s">
        <v>740</v>
      </c>
      <c r="C804" s="33">
        <v>2.5999999999999999E-2</v>
      </c>
      <c r="D804" s="33">
        <v>1.7999999999999999E-2</v>
      </c>
      <c r="E804" s="33">
        <v>4.3999999999999997E-2</v>
      </c>
      <c r="F804" s="33">
        <f>SCE_Ds[[#This Row],[With Margins ($)]]-SCE_Ds[[#This Row],[ without Margins ( $)]]</f>
        <v>1.7999999999999999E-2</v>
      </c>
      <c r="G804" s="11" t="str">
        <f>IF(E803&lt;0.5,"Low", "High")</f>
        <v>Low</v>
      </c>
      <c r="H804" s="9">
        <f>SCE_Ds[[#This Row],[Margins ($)]]/SCE_Ds[[#This Row],[With Margins ($)]]</f>
        <v>0.40909090909090906</v>
      </c>
    </row>
    <row r="805" spans="1:8" x14ac:dyDescent="0.3">
      <c r="A805">
        <v>721214</v>
      </c>
      <c r="B805" t="s">
        <v>1021</v>
      </c>
      <c r="C805" s="33">
        <v>0.14499999999999999</v>
      </c>
      <c r="D805" s="33">
        <v>0</v>
      </c>
      <c r="E805" s="33">
        <v>0.14499999999999999</v>
      </c>
      <c r="F805" s="33">
        <f>SCE_Ds[[#This Row],[With Margins ($)]]-SCE_Ds[[#This Row],[ without Margins ( $)]]</f>
        <v>0</v>
      </c>
      <c r="G805" s="11" t="str">
        <f>IF(E804&lt;0.5,"Low", "High")</f>
        <v>Low</v>
      </c>
      <c r="H805" s="9">
        <f>SCE_Ds[[#This Row],[Margins ($)]]/SCE_Ds[[#This Row],[With Margins ($)]]</f>
        <v>0</v>
      </c>
    </row>
    <row r="806" spans="1:8" x14ac:dyDescent="0.3">
      <c r="A806">
        <v>532284</v>
      </c>
      <c r="B806" t="s">
        <v>822</v>
      </c>
      <c r="C806" s="33">
        <v>0.10199999999999999</v>
      </c>
      <c r="D806" s="33">
        <v>0</v>
      </c>
      <c r="E806" s="33">
        <v>0.10199999999999999</v>
      </c>
      <c r="F806" s="33">
        <f>SCE_Ds[[#This Row],[With Margins ($)]]-SCE_Ds[[#This Row],[ without Margins ( $)]]</f>
        <v>0</v>
      </c>
      <c r="G806" s="11" t="str">
        <f>IF(E805&lt;0.5,"Low", "High")</f>
        <v>Low</v>
      </c>
      <c r="H806" s="9">
        <f>SCE_Ds[[#This Row],[Margins ($)]]/SCE_Ds[[#This Row],[With Margins ($)]]</f>
        <v>0</v>
      </c>
    </row>
    <row r="807" spans="1:8" x14ac:dyDescent="0.3">
      <c r="A807">
        <v>441210</v>
      </c>
      <c r="B807" t="s">
        <v>601</v>
      </c>
      <c r="C807" s="33">
        <v>7.2999999999999995E-2</v>
      </c>
      <c r="D807" s="33">
        <v>0</v>
      </c>
      <c r="E807" s="33">
        <v>7.2999999999999995E-2</v>
      </c>
      <c r="F807" s="33">
        <f>SCE_Ds[[#This Row],[With Margins ($)]]-SCE_Ds[[#This Row],[ without Margins ( $)]]</f>
        <v>0</v>
      </c>
      <c r="G807" s="11" t="str">
        <f>IF(E806&lt;0.5,"Low", "High")</f>
        <v>Low</v>
      </c>
      <c r="H807" s="9">
        <f>SCE_Ds[[#This Row],[Margins ($)]]/SCE_Ds[[#This Row],[With Margins ($)]]</f>
        <v>0</v>
      </c>
    </row>
    <row r="808" spans="1:8" x14ac:dyDescent="0.3">
      <c r="A808">
        <v>423930</v>
      </c>
      <c r="B808" t="s">
        <v>561</v>
      </c>
      <c r="C808" s="33">
        <v>0.108</v>
      </c>
      <c r="D808" s="33">
        <v>0</v>
      </c>
      <c r="E808" s="33">
        <v>0.108</v>
      </c>
      <c r="F808" s="33">
        <f>SCE_Ds[[#This Row],[With Margins ($)]]-SCE_Ds[[#This Row],[ without Margins ( $)]]</f>
        <v>0</v>
      </c>
      <c r="G808" s="11" t="str">
        <f>IF(E807&lt;0.5,"Low", "High")</f>
        <v>Low</v>
      </c>
      <c r="H808" s="9">
        <f>SCE_Ds[[#This Row],[Margins ($)]]/SCE_Ds[[#This Row],[With Margins ($)]]</f>
        <v>0</v>
      </c>
    </row>
    <row r="809" spans="1:8" x14ac:dyDescent="0.3">
      <c r="A809">
        <v>493120</v>
      </c>
      <c r="B809" t="s">
        <v>721</v>
      </c>
      <c r="C809" s="33">
        <v>0.24399999999999999</v>
      </c>
      <c r="D809" s="33">
        <v>0</v>
      </c>
      <c r="E809" s="33">
        <v>0.24399999999999999</v>
      </c>
      <c r="F809" s="33">
        <f>SCE_Ds[[#This Row],[With Margins ($)]]-SCE_Ds[[#This Row],[ without Margins ( $)]]</f>
        <v>0</v>
      </c>
      <c r="G809" s="11" t="str">
        <f>IF(E808&lt;0.5,"Low", "High")</f>
        <v>Low</v>
      </c>
      <c r="H809" s="9">
        <f>SCE_Ds[[#This Row],[Margins ($)]]/SCE_Ds[[#This Row],[With Margins ($)]]</f>
        <v>0</v>
      </c>
    </row>
    <row r="810" spans="1:8" x14ac:dyDescent="0.3">
      <c r="A810">
        <v>423740</v>
      </c>
      <c r="B810" t="s">
        <v>552</v>
      </c>
      <c r="C810" s="33">
        <v>0.108</v>
      </c>
      <c r="D810" s="33">
        <v>0</v>
      </c>
      <c r="E810" s="33">
        <v>0.108</v>
      </c>
      <c r="F810" s="33">
        <f>SCE_Ds[[#This Row],[With Margins ($)]]-SCE_Ds[[#This Row],[ without Margins ( $)]]</f>
        <v>0</v>
      </c>
      <c r="G810" s="11" t="str">
        <f>IF(E809&lt;0.5,"Low", "High")</f>
        <v>Low</v>
      </c>
      <c r="H810" s="9">
        <f>SCE_Ds[[#This Row],[Margins ($)]]/SCE_Ds[[#This Row],[With Margins ($)]]</f>
        <v>0</v>
      </c>
    </row>
    <row r="811" spans="1:8" x14ac:dyDescent="0.3">
      <c r="A811">
        <v>524130</v>
      </c>
      <c r="B811" t="s">
        <v>792</v>
      </c>
      <c r="C811" s="33">
        <v>3.3000000000000002E-2</v>
      </c>
      <c r="D811" s="33">
        <v>0</v>
      </c>
      <c r="E811" s="33">
        <v>3.3000000000000002E-2</v>
      </c>
      <c r="F811" s="33">
        <f>SCE_Ds[[#This Row],[With Margins ($)]]-SCE_Ds[[#This Row],[ without Margins ( $)]]</f>
        <v>0</v>
      </c>
      <c r="G811" s="11" t="str">
        <f>IF(E810&lt;0.5,"Low", "High")</f>
        <v>Low</v>
      </c>
      <c r="H811" s="9">
        <f>SCE_Ds[[#This Row],[Margins ($)]]/SCE_Ds[[#This Row],[With Margins ($)]]</f>
        <v>0</v>
      </c>
    </row>
    <row r="812" spans="1:8" x14ac:dyDescent="0.3">
      <c r="A812">
        <v>335314</v>
      </c>
      <c r="B812" t="s">
        <v>458</v>
      </c>
      <c r="C812" s="33">
        <v>0.12</v>
      </c>
      <c r="D812" s="33">
        <v>1.7999999999999999E-2</v>
      </c>
      <c r="E812" s="33">
        <v>0.13800000000000001</v>
      </c>
      <c r="F812" s="33">
        <f>SCE_Ds[[#This Row],[With Margins ($)]]-SCE_Ds[[#This Row],[ without Margins ( $)]]</f>
        <v>1.8000000000000016E-2</v>
      </c>
      <c r="G812" s="11" t="str">
        <f>IF(E811&lt;0.5,"Low", "High")</f>
        <v>Low</v>
      </c>
      <c r="H812" s="9">
        <f>SCE_Ds[[#This Row],[Margins ($)]]/SCE_Ds[[#This Row],[With Margins ($)]]</f>
        <v>0.13043478260869562</v>
      </c>
    </row>
    <row r="813" spans="1:8" x14ac:dyDescent="0.3">
      <c r="A813">
        <v>813110</v>
      </c>
      <c r="B813" t="s">
        <v>1067</v>
      </c>
      <c r="C813" s="33">
        <v>7.5999999999999998E-2</v>
      </c>
      <c r="D813" s="33">
        <v>0</v>
      </c>
      <c r="E813" s="33">
        <v>7.5999999999999998E-2</v>
      </c>
      <c r="F813" s="33">
        <f>SCE_Ds[[#This Row],[With Margins ($)]]-SCE_Ds[[#This Row],[ without Margins ( $)]]</f>
        <v>0</v>
      </c>
      <c r="G813" s="11" t="str">
        <f>IF(E812&lt;0.5,"Low", "High")</f>
        <v>Low</v>
      </c>
      <c r="H813" s="9">
        <f>SCE_Ds[[#This Row],[Margins ($)]]/SCE_Ds[[#This Row],[With Margins ($)]]</f>
        <v>0</v>
      </c>
    </row>
    <row r="814" spans="1:8" x14ac:dyDescent="0.3">
      <c r="A814">
        <v>562910</v>
      </c>
      <c r="B814" t="s">
        <v>925</v>
      </c>
      <c r="C814" s="33">
        <v>0.98799999999999999</v>
      </c>
      <c r="D814" s="34">
        <v>0</v>
      </c>
      <c r="E814" s="33">
        <v>0.98799999999999999</v>
      </c>
      <c r="F814" s="33">
        <f>SCE_Ds[[#This Row],[With Margins ($)]]-SCE_Ds[[#This Row],[ without Margins ( $)]]</f>
        <v>0</v>
      </c>
      <c r="G814" s="11" t="str">
        <f>IF(E813&lt;0.5,"Low", "High")</f>
        <v>Low</v>
      </c>
      <c r="H814" s="9">
        <f>SCE_Ds[[#This Row],[Margins ($)]]/SCE_Ds[[#This Row],[With Margins ($)]]</f>
        <v>0</v>
      </c>
    </row>
    <row r="815" spans="1:8" x14ac:dyDescent="0.3">
      <c r="A815">
        <v>311613</v>
      </c>
      <c r="B815" t="s">
        <v>175</v>
      </c>
      <c r="C815" s="33">
        <v>1.0860000000000001</v>
      </c>
      <c r="D815" s="34">
        <v>3.3000000000000002E-2</v>
      </c>
      <c r="E815" s="33">
        <v>1.1200000000000001</v>
      </c>
      <c r="F815" s="33">
        <f>SCE_Ds[[#This Row],[With Margins ($)]]-SCE_Ds[[#This Row],[ without Margins ( $)]]</f>
        <v>3.400000000000003E-2</v>
      </c>
      <c r="G815" s="11" t="str">
        <f>IF(E814&lt;0.5,"Low", "High")</f>
        <v>High</v>
      </c>
      <c r="H815" s="9">
        <f>SCE_Ds[[#This Row],[Margins ($)]]/SCE_Ds[[#This Row],[With Margins ($)]]</f>
        <v>2.9464285714285714E-2</v>
      </c>
    </row>
    <row r="816" spans="1:8" x14ac:dyDescent="0.3">
      <c r="A816">
        <v>561491</v>
      </c>
      <c r="B816" t="s">
        <v>898</v>
      </c>
      <c r="C816" s="33">
        <v>0.111</v>
      </c>
      <c r="D816" s="33">
        <v>0</v>
      </c>
      <c r="E816" s="33">
        <v>0.111</v>
      </c>
      <c r="F816" s="33">
        <f>SCE_Ds[[#This Row],[With Margins ($)]]-SCE_Ds[[#This Row],[ without Margins ( $)]]</f>
        <v>0</v>
      </c>
      <c r="G816" s="11" t="str">
        <f>IF(E815&lt;0.5,"Low", "High")</f>
        <v>High</v>
      </c>
      <c r="H816" s="9">
        <f>SCE_Ds[[#This Row],[Margins ($)]]/SCE_Ds[[#This Row],[With Margins ($)]]</f>
        <v>0</v>
      </c>
    </row>
    <row r="817" spans="1:8" x14ac:dyDescent="0.3">
      <c r="A817">
        <v>541714</v>
      </c>
      <c r="B817" t="s">
        <v>864</v>
      </c>
      <c r="C817" s="33">
        <v>0.156</v>
      </c>
      <c r="D817" s="33">
        <v>0</v>
      </c>
      <c r="E817" s="33">
        <v>0.156</v>
      </c>
      <c r="F817" s="33">
        <f>SCE_Ds[[#This Row],[With Margins ($)]]-SCE_Ds[[#This Row],[ without Margins ( $)]]</f>
        <v>0</v>
      </c>
      <c r="G817" s="11" t="str">
        <f>IF(E816&lt;0.5,"Low", "High")</f>
        <v>Low</v>
      </c>
      <c r="H817" s="9">
        <f>SCE_Ds[[#This Row],[Margins ($)]]/SCE_Ds[[#This Row],[With Margins ($)]]</f>
        <v>0</v>
      </c>
    </row>
    <row r="818" spans="1:8" x14ac:dyDescent="0.3">
      <c r="A818">
        <v>541713</v>
      </c>
      <c r="B818" t="s">
        <v>863</v>
      </c>
      <c r="C818" s="33">
        <v>0.156</v>
      </c>
      <c r="D818" s="33">
        <v>0</v>
      </c>
      <c r="E818" s="33">
        <v>0.156</v>
      </c>
      <c r="F818" s="33">
        <f>SCE_Ds[[#This Row],[With Margins ($)]]-SCE_Ds[[#This Row],[ without Margins ( $)]]</f>
        <v>0</v>
      </c>
      <c r="G818" s="11" t="str">
        <f>IF(E817&lt;0.5,"Low", "High")</f>
        <v>Low</v>
      </c>
      <c r="H818" s="9">
        <f>SCE_Ds[[#This Row],[Margins ($)]]/SCE_Ds[[#This Row],[With Margins ($)]]</f>
        <v>0</v>
      </c>
    </row>
    <row r="819" spans="1:8" x14ac:dyDescent="0.3">
      <c r="A819">
        <v>541715</v>
      </c>
      <c r="B819" t="s">
        <v>865</v>
      </c>
      <c r="C819" s="33">
        <v>0.156</v>
      </c>
      <c r="D819" s="33">
        <v>0</v>
      </c>
      <c r="E819" s="33">
        <v>0.156</v>
      </c>
      <c r="F819" s="33">
        <f>SCE_Ds[[#This Row],[With Margins ($)]]-SCE_Ds[[#This Row],[ without Margins ( $)]]</f>
        <v>0</v>
      </c>
      <c r="G819" s="11" t="str">
        <f>IF(E818&lt;0.5,"Low", "High")</f>
        <v>Low</v>
      </c>
      <c r="H819" s="9">
        <f>SCE_Ds[[#This Row],[Margins ($)]]/SCE_Ds[[#This Row],[With Margins ($)]]</f>
        <v>0</v>
      </c>
    </row>
    <row r="820" spans="1:8" x14ac:dyDescent="0.3">
      <c r="A820">
        <v>541720</v>
      </c>
      <c r="B820" t="s">
        <v>866</v>
      </c>
      <c r="C820" s="33">
        <v>0.156</v>
      </c>
      <c r="D820" s="33">
        <v>0</v>
      </c>
      <c r="E820" s="33">
        <v>0.156</v>
      </c>
      <c r="F820" s="33">
        <f>SCE_Ds[[#This Row],[With Margins ($)]]-SCE_Ds[[#This Row],[ without Margins ( $)]]</f>
        <v>0</v>
      </c>
      <c r="G820" s="11" t="str">
        <f>IF(E819&lt;0.5,"Low", "High")</f>
        <v>Low</v>
      </c>
      <c r="H820" s="9">
        <f>SCE_Ds[[#This Row],[Margins ($)]]/SCE_Ds[[#This Row],[With Margins ($)]]</f>
        <v>0</v>
      </c>
    </row>
    <row r="821" spans="1:8" x14ac:dyDescent="0.3">
      <c r="A821">
        <v>335121</v>
      </c>
      <c r="B821" t="s">
        <v>450</v>
      </c>
      <c r="C821" s="33">
        <v>0.13800000000000001</v>
      </c>
      <c r="D821" s="33">
        <v>4.7E-2</v>
      </c>
      <c r="E821" s="33">
        <v>0.185</v>
      </c>
      <c r="F821" s="33">
        <f>SCE_Ds[[#This Row],[With Margins ($)]]-SCE_Ds[[#This Row],[ without Margins ( $)]]</f>
        <v>4.6999999999999986E-2</v>
      </c>
      <c r="G821" s="11" t="str">
        <f>IF(E820&lt;0.5,"Low", "High")</f>
        <v>Low</v>
      </c>
      <c r="H821" s="9">
        <f>SCE_Ds[[#This Row],[Margins ($)]]/SCE_Ds[[#This Row],[With Margins ($)]]</f>
        <v>0.25405405405405407</v>
      </c>
    </row>
    <row r="822" spans="1:8" x14ac:dyDescent="0.3">
      <c r="A822">
        <v>623210</v>
      </c>
      <c r="B822" t="s">
        <v>974</v>
      </c>
      <c r="C822" s="33">
        <v>0.129</v>
      </c>
      <c r="D822" s="33">
        <v>0</v>
      </c>
      <c r="E822" s="33">
        <v>0.129</v>
      </c>
      <c r="F822" s="33">
        <f>SCE_Ds[[#This Row],[With Margins ($)]]-SCE_Ds[[#This Row],[ without Margins ( $)]]</f>
        <v>0</v>
      </c>
      <c r="G822" s="11" t="str">
        <f>IF(E821&lt;0.5,"Low", "High")</f>
        <v>Low</v>
      </c>
      <c r="H822" s="9">
        <f>SCE_Ds[[#This Row],[Margins ($)]]/SCE_Ds[[#This Row],[With Margins ($)]]</f>
        <v>0</v>
      </c>
    </row>
    <row r="823" spans="1:8" x14ac:dyDescent="0.3">
      <c r="A823">
        <v>623220</v>
      </c>
      <c r="B823" t="s">
        <v>976</v>
      </c>
      <c r="C823" s="33">
        <v>0.129</v>
      </c>
      <c r="D823" s="33">
        <v>0</v>
      </c>
      <c r="E823" s="33">
        <v>0.129</v>
      </c>
      <c r="F823" s="33">
        <f>SCE_Ds[[#This Row],[With Margins ($)]]-SCE_Ds[[#This Row],[ without Margins ( $)]]</f>
        <v>0</v>
      </c>
      <c r="G823" s="11" t="str">
        <f>IF(E822&lt;0.5,"Low", "High")</f>
        <v>Low</v>
      </c>
      <c r="H823" s="9">
        <f>SCE_Ds[[#This Row],[Margins ($)]]/SCE_Ds[[#This Row],[With Margins ($)]]</f>
        <v>0</v>
      </c>
    </row>
    <row r="824" spans="1:8" x14ac:dyDescent="0.3">
      <c r="A824">
        <v>531311</v>
      </c>
      <c r="B824" t="s">
        <v>810</v>
      </c>
      <c r="C824" s="33">
        <v>0.246</v>
      </c>
      <c r="D824" s="33">
        <v>0</v>
      </c>
      <c r="E824" s="33">
        <v>0.246</v>
      </c>
      <c r="F824" s="33">
        <f>SCE_Ds[[#This Row],[With Margins ($)]]-SCE_Ds[[#This Row],[ without Margins ( $)]]</f>
        <v>0</v>
      </c>
      <c r="G824" s="11" t="str">
        <f>IF(E823&lt;0.5,"Low", "High")</f>
        <v>Low</v>
      </c>
      <c r="H824" s="9">
        <f>SCE_Ds[[#This Row],[Margins ($)]]/SCE_Ds[[#This Row],[With Margins ($)]]</f>
        <v>0</v>
      </c>
    </row>
    <row r="825" spans="1:8" x14ac:dyDescent="0.3">
      <c r="A825">
        <v>236118</v>
      </c>
      <c r="B825" t="s">
        <v>113</v>
      </c>
      <c r="C825" s="33">
        <v>0.21099999999999999</v>
      </c>
      <c r="D825" s="33">
        <v>0</v>
      </c>
      <c r="E825" s="33">
        <v>0.21099999999999999</v>
      </c>
      <c r="F825" s="33">
        <f>SCE_Ds[[#This Row],[With Margins ($)]]-SCE_Ds[[#This Row],[ without Margins ( $)]]</f>
        <v>0</v>
      </c>
      <c r="G825" s="11" t="str">
        <f>IF(E824&lt;0.5,"Low", "High")</f>
        <v>Low</v>
      </c>
      <c r="H825" s="9">
        <f>SCE_Ds[[#This Row],[Margins ($)]]/SCE_Ds[[#This Row],[With Margins ($)]]</f>
        <v>0</v>
      </c>
    </row>
    <row r="826" spans="1:8" x14ac:dyDescent="0.3">
      <c r="A826">
        <v>311811</v>
      </c>
      <c r="B826" t="s">
        <v>178</v>
      </c>
      <c r="C826" s="33">
        <v>0.21299999999999999</v>
      </c>
      <c r="D826" s="33">
        <v>0.04</v>
      </c>
      <c r="E826" s="33">
        <v>0.253</v>
      </c>
      <c r="F826" s="33">
        <f>SCE_Ds[[#This Row],[With Margins ($)]]-SCE_Ds[[#This Row],[ without Margins ( $)]]</f>
        <v>4.0000000000000008E-2</v>
      </c>
      <c r="G826" s="11" t="str">
        <f>IF(E825&lt;0.5,"Low", "High")</f>
        <v>Low</v>
      </c>
      <c r="H826" s="9">
        <f>SCE_Ds[[#This Row],[Margins ($)]]/SCE_Ds[[#This Row],[With Margins ($)]]</f>
        <v>0.15810276679841898</v>
      </c>
    </row>
    <row r="827" spans="1:8" x14ac:dyDescent="0.3">
      <c r="A827">
        <v>811420</v>
      </c>
      <c r="B827" t="s">
        <v>1048</v>
      </c>
      <c r="C827" s="33">
        <v>0.113</v>
      </c>
      <c r="D827" s="33">
        <v>0</v>
      </c>
      <c r="E827" s="33">
        <v>0.113</v>
      </c>
      <c r="F827" s="33">
        <f>SCE_Ds[[#This Row],[With Margins ($)]]-SCE_Ds[[#This Row],[ without Margins ( $)]]</f>
        <v>0</v>
      </c>
      <c r="G827" s="11" t="str">
        <f>IF(E826&lt;0.5,"Low", "High")</f>
        <v>Low</v>
      </c>
      <c r="H827" s="9">
        <f>SCE_Ds[[#This Row],[Margins ($)]]/SCE_Ds[[#This Row],[With Margins ($)]]</f>
        <v>0</v>
      </c>
    </row>
    <row r="828" spans="1:8" x14ac:dyDescent="0.3">
      <c r="A828">
        <v>111160</v>
      </c>
      <c r="B828" t="s">
        <v>13</v>
      </c>
      <c r="C828" s="33">
        <v>0.80900000000000005</v>
      </c>
      <c r="D828" s="34">
        <v>0.04</v>
      </c>
      <c r="E828" s="33">
        <v>0.84799999999999998</v>
      </c>
      <c r="F828" s="33">
        <f>SCE_Ds[[#This Row],[With Margins ($)]]-SCE_Ds[[#This Row],[ without Margins ( $)]]</f>
        <v>3.8999999999999924E-2</v>
      </c>
      <c r="G828" s="11" t="str">
        <f>IF(E827&lt;0.5,"Low", "High")</f>
        <v>Low</v>
      </c>
      <c r="H828" s="9">
        <f>SCE_Ds[[#This Row],[Margins ($)]]/SCE_Ds[[#This Row],[With Margins ($)]]</f>
        <v>4.716981132075472E-2</v>
      </c>
    </row>
    <row r="829" spans="1:8" x14ac:dyDescent="0.3">
      <c r="A829">
        <v>311212</v>
      </c>
      <c r="B829" t="s">
        <v>150</v>
      </c>
      <c r="C829" s="33">
        <v>0.73199999999999998</v>
      </c>
      <c r="D829" s="34">
        <v>3.6999999999999998E-2</v>
      </c>
      <c r="E829" s="33">
        <v>0.76900000000000002</v>
      </c>
      <c r="F829" s="33">
        <f>SCE_Ds[[#This Row],[With Margins ($)]]-SCE_Ds[[#This Row],[ without Margins ( $)]]</f>
        <v>3.7000000000000033E-2</v>
      </c>
      <c r="G829" s="11" t="str">
        <f>IF(E828&lt;0.5,"Low", "High")</f>
        <v>High</v>
      </c>
      <c r="H829" s="9">
        <f>SCE_Ds[[#This Row],[Margins ($)]]/SCE_Ds[[#This Row],[With Margins ($)]]</f>
        <v>4.8114434330299084E-2</v>
      </c>
    </row>
    <row r="830" spans="1:8" x14ac:dyDescent="0.3">
      <c r="A830">
        <v>311911</v>
      </c>
      <c r="B830" t="s">
        <v>185</v>
      </c>
      <c r="C830" s="33">
        <v>0.32900000000000001</v>
      </c>
      <c r="D830" s="33">
        <v>4.3999999999999997E-2</v>
      </c>
      <c r="E830" s="33">
        <v>0.372</v>
      </c>
      <c r="F830" s="33">
        <f>SCE_Ds[[#This Row],[With Margins ($)]]-SCE_Ds[[#This Row],[ without Margins ( $)]]</f>
        <v>4.2999999999999983E-2</v>
      </c>
      <c r="G830" s="11" t="str">
        <f>IF(E829&lt;0.5,"Low", "High")</f>
        <v>High</v>
      </c>
      <c r="H830" s="9">
        <f>SCE_Ds[[#This Row],[Margins ($)]]/SCE_Ds[[#This Row],[With Margins ($)]]</f>
        <v>0.11827956989247311</v>
      </c>
    </row>
    <row r="831" spans="1:8" x14ac:dyDescent="0.3">
      <c r="A831">
        <v>331221</v>
      </c>
      <c r="B831" t="s">
        <v>325</v>
      </c>
      <c r="C831" s="33">
        <v>0.34300000000000003</v>
      </c>
      <c r="D831" s="33">
        <v>1.7000000000000001E-2</v>
      </c>
      <c r="E831" s="33">
        <v>0.36</v>
      </c>
      <c r="F831" s="33">
        <f>SCE_Ds[[#This Row],[With Margins ($)]]-SCE_Ds[[#This Row],[ without Margins ( $)]]</f>
        <v>1.699999999999996E-2</v>
      </c>
      <c r="G831" s="11" t="str">
        <f>IF(E830&lt;0.5,"Low", "High")</f>
        <v>Low</v>
      </c>
      <c r="H831" s="9">
        <f>SCE_Ds[[#This Row],[Margins ($)]]/SCE_Ds[[#This Row],[With Margins ($)]]</f>
        <v>4.7222222222222228E-2</v>
      </c>
    </row>
    <row r="832" spans="1:8" x14ac:dyDescent="0.3">
      <c r="A832">
        <v>333519</v>
      </c>
      <c r="B832" t="s">
        <v>402</v>
      </c>
      <c r="C832" s="33">
        <v>0.184</v>
      </c>
      <c r="D832" s="33">
        <v>2.3E-2</v>
      </c>
      <c r="E832" s="33">
        <v>0.20699999999999999</v>
      </c>
      <c r="F832" s="33">
        <f>SCE_Ds[[#This Row],[With Margins ($)]]-SCE_Ds[[#This Row],[ without Margins ( $)]]</f>
        <v>2.2999999999999993E-2</v>
      </c>
      <c r="G832" s="11" t="str">
        <f>IF(E831&lt;0.5,"Low", "High")</f>
        <v>Low</v>
      </c>
      <c r="H832" s="9">
        <f>SCE_Ds[[#This Row],[Margins ($)]]/SCE_Ds[[#This Row],[With Margins ($)]]</f>
        <v>0.11111111111111112</v>
      </c>
    </row>
    <row r="833" spans="1:8" x14ac:dyDescent="0.3">
      <c r="A833">
        <v>238160</v>
      </c>
      <c r="B833" t="s">
        <v>133</v>
      </c>
      <c r="C833" s="33">
        <v>0.221</v>
      </c>
      <c r="D833" s="33">
        <v>0</v>
      </c>
      <c r="E833" s="33">
        <v>0.221</v>
      </c>
      <c r="F833" s="33">
        <f>SCE_Ds[[#This Row],[With Margins ($)]]-SCE_Ds[[#This Row],[ without Margins ( $)]]</f>
        <v>0</v>
      </c>
      <c r="G833" s="11" t="str">
        <f>IF(E832&lt;0.5,"Low", "High")</f>
        <v>Low</v>
      </c>
      <c r="H833" s="9">
        <f>SCE_Ds[[#This Row],[Margins ($)]]/SCE_Ds[[#This Row],[With Margins ($)]]</f>
        <v>0</v>
      </c>
    </row>
    <row r="834" spans="1:8" x14ac:dyDescent="0.3">
      <c r="A834">
        <v>423330</v>
      </c>
      <c r="B834" t="s">
        <v>535</v>
      </c>
      <c r="C834" s="33">
        <v>0.108</v>
      </c>
      <c r="D834" s="33">
        <v>0</v>
      </c>
      <c r="E834" s="33">
        <v>0.108</v>
      </c>
      <c r="F834" s="33">
        <f>SCE_Ds[[#This Row],[With Margins ($)]]-SCE_Ds[[#This Row],[ without Margins ( $)]]</f>
        <v>0</v>
      </c>
      <c r="G834" s="11" t="str">
        <f>IF(E833&lt;0.5,"Low", "High")</f>
        <v>Low</v>
      </c>
      <c r="H834" s="9">
        <f>SCE_Ds[[#This Row],[Margins ($)]]/SCE_Ds[[#This Row],[With Margins ($)]]</f>
        <v>0</v>
      </c>
    </row>
    <row r="835" spans="1:8" x14ac:dyDescent="0.3">
      <c r="A835">
        <v>721310</v>
      </c>
      <c r="B835" t="s">
        <v>1022</v>
      </c>
      <c r="C835" s="33">
        <v>0.14499999999999999</v>
      </c>
      <c r="D835" s="33">
        <v>0</v>
      </c>
      <c r="E835" s="33">
        <v>0.14499999999999999</v>
      </c>
      <c r="F835" s="33">
        <f>SCE_Ds[[#This Row],[With Margins ($)]]-SCE_Ds[[#This Row],[ without Margins ( $)]]</f>
        <v>0</v>
      </c>
      <c r="G835" s="11" t="str">
        <f>IF(E834&lt;0.5,"Low", "High")</f>
        <v>Low</v>
      </c>
      <c r="H835" s="9">
        <f>SCE_Ds[[#This Row],[Margins ($)]]/SCE_Ds[[#This Row],[With Margins ($)]]</f>
        <v>0</v>
      </c>
    </row>
    <row r="836" spans="1:8" x14ac:dyDescent="0.3">
      <c r="A836">
        <v>314994</v>
      </c>
      <c r="B836" t="s">
        <v>210</v>
      </c>
      <c r="C836" s="33">
        <v>0.19700000000000001</v>
      </c>
      <c r="D836" s="33">
        <v>4.5999999999999999E-2</v>
      </c>
      <c r="E836" s="33">
        <v>0.24299999999999999</v>
      </c>
      <c r="F836" s="33">
        <f>SCE_Ds[[#This Row],[With Margins ($)]]-SCE_Ds[[#This Row],[ without Margins ( $)]]</f>
        <v>4.5999999999999985E-2</v>
      </c>
      <c r="G836" s="11" t="str">
        <f>IF(E835&lt;0.5,"Low", "High")</f>
        <v>Low</v>
      </c>
      <c r="H836" s="9">
        <f>SCE_Ds[[#This Row],[Margins ($)]]/SCE_Ds[[#This Row],[With Margins ($)]]</f>
        <v>0.18930041152263374</v>
      </c>
    </row>
    <row r="837" spans="1:8" x14ac:dyDescent="0.3">
      <c r="A837">
        <v>326220</v>
      </c>
      <c r="B837" t="s">
        <v>302</v>
      </c>
      <c r="C837" s="33">
        <v>0.28100000000000003</v>
      </c>
      <c r="D837" s="33">
        <v>2.8000000000000001E-2</v>
      </c>
      <c r="E837" s="33">
        <v>0.309</v>
      </c>
      <c r="F837" s="33">
        <f>SCE_Ds[[#This Row],[With Margins ($)]]-SCE_Ds[[#This Row],[ without Margins ( $)]]</f>
        <v>2.7999999999999969E-2</v>
      </c>
      <c r="G837" s="11" t="str">
        <f>IF(E836&lt;0.5,"Low", "High")</f>
        <v>Low</v>
      </c>
      <c r="H837" s="9">
        <f>SCE_Ds[[#This Row],[Margins ($)]]/SCE_Ds[[#This Row],[With Margins ($)]]</f>
        <v>9.0614886731391592E-2</v>
      </c>
    </row>
    <row r="838" spans="1:8" x14ac:dyDescent="0.3">
      <c r="A838">
        <v>326291</v>
      </c>
      <c r="B838" t="s">
        <v>303</v>
      </c>
      <c r="C838" s="33">
        <v>0.313</v>
      </c>
      <c r="D838" s="33">
        <v>0.03</v>
      </c>
      <c r="E838" s="33">
        <v>0.34300000000000003</v>
      </c>
      <c r="F838" s="33">
        <f>SCE_Ds[[#This Row],[With Margins ($)]]-SCE_Ds[[#This Row],[ without Margins ( $)]]</f>
        <v>3.0000000000000027E-2</v>
      </c>
      <c r="G838" s="11" t="str">
        <f>IF(E837&lt;0.5,"Low", "High")</f>
        <v>Low</v>
      </c>
      <c r="H838" s="9">
        <f>SCE_Ds[[#This Row],[Margins ($)]]/SCE_Ds[[#This Row],[With Margins ($)]]</f>
        <v>8.7463556851311949E-2</v>
      </c>
    </row>
    <row r="839" spans="1:8" x14ac:dyDescent="0.3">
      <c r="A839">
        <v>721211</v>
      </c>
      <c r="B839" t="s">
        <v>1020</v>
      </c>
      <c r="C839" s="33">
        <v>0.14499999999999999</v>
      </c>
      <c r="D839" s="33">
        <v>0</v>
      </c>
      <c r="E839" s="33">
        <v>0.14499999999999999</v>
      </c>
      <c r="F839" s="33">
        <f>SCE_Ds[[#This Row],[With Margins ($)]]-SCE_Ds[[#This Row],[ without Margins ( $)]]</f>
        <v>0</v>
      </c>
      <c r="G839" s="11" t="str">
        <f>IF(E838&lt;0.5,"Low", "High")</f>
        <v>Low</v>
      </c>
      <c r="H839" s="9">
        <f>SCE_Ds[[#This Row],[Margins ($)]]/SCE_Ds[[#This Row],[With Margins ($)]]</f>
        <v>0</v>
      </c>
    </row>
    <row r="840" spans="1:8" x14ac:dyDescent="0.3">
      <c r="A840">
        <v>522220</v>
      </c>
      <c r="B840" t="s">
        <v>766</v>
      </c>
      <c r="C840" s="33">
        <v>7.1999999999999995E-2</v>
      </c>
      <c r="D840" s="33">
        <v>0</v>
      </c>
      <c r="E840" s="33">
        <v>7.1999999999999995E-2</v>
      </c>
      <c r="F840" s="33">
        <f>SCE_Ds[[#This Row],[With Margins ($)]]-SCE_Ds[[#This Row],[ without Margins ( $)]]</f>
        <v>0</v>
      </c>
      <c r="G840" s="11" t="str">
        <f>IF(E839&lt;0.5,"Low", "High")</f>
        <v>Low</v>
      </c>
      <c r="H840" s="9">
        <f>SCE_Ds[[#This Row],[Margins ($)]]/SCE_Ds[[#This Row],[With Margins ($)]]</f>
        <v>0</v>
      </c>
    </row>
    <row r="841" spans="1:8" x14ac:dyDescent="0.3">
      <c r="A841">
        <v>322291</v>
      </c>
      <c r="B841" t="s">
        <v>247</v>
      </c>
      <c r="C841" s="33">
        <v>0.27500000000000002</v>
      </c>
      <c r="D841" s="33">
        <v>6.5000000000000002E-2</v>
      </c>
      <c r="E841" s="33">
        <v>0.34</v>
      </c>
      <c r="F841" s="33">
        <f>SCE_Ds[[#This Row],[With Margins ($)]]-SCE_Ds[[#This Row],[ without Margins ( $)]]</f>
        <v>6.5000000000000002E-2</v>
      </c>
      <c r="G841" s="11" t="str">
        <f>IF(E840&lt;0.5,"Low", "High")</f>
        <v>Low</v>
      </c>
      <c r="H841" s="9">
        <f>SCE_Ds[[#This Row],[Margins ($)]]/SCE_Ds[[#This Row],[With Margins ($)]]</f>
        <v>0.19117647058823528</v>
      </c>
    </row>
    <row r="842" spans="1:8" x14ac:dyDescent="0.3">
      <c r="A842">
        <v>517410</v>
      </c>
      <c r="B842" t="s">
        <v>748</v>
      </c>
      <c r="C842" s="33">
        <v>7.8E-2</v>
      </c>
      <c r="D842" s="33">
        <v>0</v>
      </c>
      <c r="E842" s="33">
        <v>7.8E-2</v>
      </c>
      <c r="F842" s="33">
        <f>SCE_Ds[[#This Row],[With Margins ($)]]-SCE_Ds[[#This Row],[ without Margins ( $)]]</f>
        <v>0</v>
      </c>
      <c r="G842" s="11" t="str">
        <f>IF(E841&lt;0.5,"Low", "High")</f>
        <v>Low</v>
      </c>
      <c r="H842" s="9">
        <f>SCE_Ds[[#This Row],[Margins ($)]]/SCE_Ds[[#This Row],[With Margins ($)]]</f>
        <v>0</v>
      </c>
    </row>
    <row r="843" spans="1:8" x14ac:dyDescent="0.3">
      <c r="A843">
        <v>522120</v>
      </c>
      <c r="B843" t="s">
        <v>761</v>
      </c>
      <c r="C843" s="33">
        <v>5.8999999999999997E-2</v>
      </c>
      <c r="D843" s="33">
        <v>0</v>
      </c>
      <c r="E843" s="33">
        <v>5.8999999999999997E-2</v>
      </c>
      <c r="F843" s="33">
        <f>SCE_Ds[[#This Row],[With Margins ($)]]-SCE_Ds[[#This Row],[ without Margins ( $)]]</f>
        <v>0</v>
      </c>
      <c r="G843" s="11" t="str">
        <f>IF(E842&lt;0.5,"Low", "High")</f>
        <v>Low</v>
      </c>
      <c r="H843" s="9">
        <f>SCE_Ds[[#This Row],[Margins ($)]]/SCE_Ds[[#This Row],[With Margins ($)]]</f>
        <v>0</v>
      </c>
    </row>
    <row r="844" spans="1:8" x14ac:dyDescent="0.3">
      <c r="A844">
        <v>332216</v>
      </c>
      <c r="B844" t="s">
        <v>348</v>
      </c>
      <c r="C844" s="33">
        <v>0.17399999999999999</v>
      </c>
      <c r="D844" s="33">
        <v>4.9000000000000002E-2</v>
      </c>
      <c r="E844" s="33">
        <v>0.223</v>
      </c>
      <c r="F844" s="33">
        <f>SCE_Ds[[#This Row],[With Margins ($)]]-SCE_Ds[[#This Row],[ without Margins ( $)]]</f>
        <v>4.9000000000000016E-2</v>
      </c>
      <c r="G844" s="11" t="str">
        <f>IF(E843&lt;0.5,"Low", "High")</f>
        <v>Low</v>
      </c>
      <c r="H844" s="9">
        <f>SCE_Ds[[#This Row],[Margins ($)]]/SCE_Ds[[#This Row],[With Margins ($)]]</f>
        <v>0.21973094170403587</v>
      </c>
    </row>
    <row r="845" spans="1:8" x14ac:dyDescent="0.3">
      <c r="A845">
        <v>333243</v>
      </c>
      <c r="B845" t="s">
        <v>388</v>
      </c>
      <c r="C845" s="33">
        <v>0.16600000000000001</v>
      </c>
      <c r="D845" s="33">
        <v>1.9E-2</v>
      </c>
      <c r="E845" s="33">
        <v>0.185</v>
      </c>
      <c r="F845" s="33">
        <f>SCE_Ds[[#This Row],[With Margins ($)]]-SCE_Ds[[#This Row],[ without Margins ( $)]]</f>
        <v>1.8999999999999989E-2</v>
      </c>
      <c r="G845" s="11" t="str">
        <f>IF(E844&lt;0.5,"Low", "High")</f>
        <v>Low</v>
      </c>
      <c r="H845" s="9">
        <f>SCE_Ds[[#This Row],[Margins ($)]]/SCE_Ds[[#This Row],[With Margins ($)]]</f>
        <v>0.10270270270270269</v>
      </c>
    </row>
    <row r="846" spans="1:8" x14ac:dyDescent="0.3">
      <c r="A846">
        <v>321113</v>
      </c>
      <c r="B846" t="s">
        <v>223</v>
      </c>
      <c r="C846" s="33">
        <v>0.22700000000000001</v>
      </c>
      <c r="D846" s="33">
        <v>3.6999999999999998E-2</v>
      </c>
      <c r="E846" s="33">
        <v>0.26400000000000001</v>
      </c>
      <c r="F846" s="33">
        <f>SCE_Ds[[#This Row],[With Margins ($)]]-SCE_Ds[[#This Row],[ without Margins ( $)]]</f>
        <v>3.7000000000000005E-2</v>
      </c>
      <c r="G846" s="11" t="str">
        <f>IF(E845&lt;0.5,"Low", "High")</f>
        <v>Low</v>
      </c>
      <c r="H846" s="9">
        <f>SCE_Ds[[#This Row],[Margins ($)]]/SCE_Ds[[#This Row],[With Margins ($)]]</f>
        <v>0.14015151515151514</v>
      </c>
    </row>
    <row r="847" spans="1:8" x14ac:dyDescent="0.3">
      <c r="A847">
        <v>333997</v>
      </c>
      <c r="B847" t="s">
        <v>421</v>
      </c>
      <c r="C847" s="33">
        <v>0.22800000000000001</v>
      </c>
      <c r="D847" s="33">
        <v>2.1000000000000001E-2</v>
      </c>
      <c r="E847" s="33">
        <v>0.249</v>
      </c>
      <c r="F847" s="33">
        <f>SCE_Ds[[#This Row],[With Margins ($)]]-SCE_Ds[[#This Row],[ without Margins ( $)]]</f>
        <v>2.0999999999999991E-2</v>
      </c>
      <c r="G847" s="11" t="str">
        <f>IF(E846&lt;0.5,"Low", "High")</f>
        <v>Low</v>
      </c>
      <c r="H847" s="9">
        <f>SCE_Ds[[#This Row],[Margins ($)]]/SCE_Ds[[#This Row],[With Margins ($)]]</f>
        <v>8.4337349397590369E-2</v>
      </c>
    </row>
    <row r="848" spans="1:8" x14ac:dyDescent="0.3">
      <c r="A848">
        <v>487110</v>
      </c>
      <c r="B848" t="s">
        <v>700</v>
      </c>
      <c r="C848" s="33">
        <v>0.16200000000000001</v>
      </c>
      <c r="D848" s="34">
        <v>0</v>
      </c>
      <c r="E848" s="33">
        <v>0.16200000000000001</v>
      </c>
      <c r="F848" s="33">
        <f>SCE_Ds[[#This Row],[With Margins ($)]]-SCE_Ds[[#This Row],[ without Margins ( $)]]</f>
        <v>0</v>
      </c>
      <c r="G848" s="11" t="str">
        <f>IF(E847&lt;0.5,"Low", "High")</f>
        <v>Low</v>
      </c>
      <c r="H848" s="9">
        <f>SCE_Ds[[#This Row],[Margins ($)]]/SCE_Ds[[#This Row],[With Margins ($)]]</f>
        <v>0</v>
      </c>
    </row>
    <row r="849" spans="1:8" x14ac:dyDescent="0.3">
      <c r="A849">
        <v>487990</v>
      </c>
      <c r="B849" t="s">
        <v>703</v>
      </c>
      <c r="C849" s="33">
        <v>0.16200000000000001</v>
      </c>
      <c r="D849" s="33">
        <v>0</v>
      </c>
      <c r="E849" s="33">
        <v>0.16200000000000001</v>
      </c>
      <c r="F849" s="33">
        <f>SCE_Ds[[#This Row],[With Margins ($)]]-SCE_Ds[[#This Row],[ without Margins ( $)]]</f>
        <v>0</v>
      </c>
      <c r="G849" s="11" t="str">
        <f>IF(E848&lt;0.5,"Low", "High")</f>
        <v>Low</v>
      </c>
      <c r="H849" s="9">
        <f>SCE_Ds[[#This Row],[Margins ($)]]/SCE_Ds[[#This Row],[With Margins ($)]]</f>
        <v>0</v>
      </c>
    </row>
    <row r="850" spans="1:8" x14ac:dyDescent="0.3">
      <c r="A850">
        <v>487210</v>
      </c>
      <c r="B850" t="s">
        <v>702</v>
      </c>
      <c r="C850" s="33">
        <v>0.16200000000000001</v>
      </c>
      <c r="D850" s="33">
        <v>0</v>
      </c>
      <c r="E850" s="33">
        <v>0.16200000000000001</v>
      </c>
      <c r="F850" s="33">
        <f>SCE_Ds[[#This Row],[With Margins ($)]]-SCE_Ds[[#This Row],[ without Margins ( $)]]</f>
        <v>0</v>
      </c>
      <c r="G850" s="11" t="str">
        <f>IF(E849&lt;0.5,"Low", "High")</f>
        <v>Low</v>
      </c>
      <c r="H850" s="9">
        <f>SCE_Ds[[#This Row],[Margins ($)]]/SCE_Ds[[#This Row],[With Margins ($)]]</f>
        <v>0</v>
      </c>
    </row>
    <row r="851" spans="1:8" x14ac:dyDescent="0.3">
      <c r="A851">
        <v>481112</v>
      </c>
      <c r="B851" t="s">
        <v>667</v>
      </c>
      <c r="C851" s="33">
        <v>0.64400000000000002</v>
      </c>
      <c r="D851" s="34">
        <v>0</v>
      </c>
      <c r="E851" s="33">
        <v>0.64400000000000002</v>
      </c>
      <c r="F851" s="33">
        <f>SCE_Ds[[#This Row],[With Margins ($)]]-SCE_Ds[[#This Row],[ without Margins ( $)]]</f>
        <v>0</v>
      </c>
      <c r="G851" s="11" t="str">
        <f>IF(E850&lt;0.5,"Low", "High")</f>
        <v>Low</v>
      </c>
      <c r="H851" s="9">
        <f>SCE_Ds[[#This Row],[Margins ($)]]/SCE_Ds[[#This Row],[With Margins ($)]]</f>
        <v>0</v>
      </c>
    </row>
    <row r="852" spans="1:8" x14ac:dyDescent="0.3">
      <c r="A852">
        <v>481111</v>
      </c>
      <c r="B852" t="s">
        <v>666</v>
      </c>
      <c r="C852" s="33">
        <v>0.64400000000000002</v>
      </c>
      <c r="D852" s="33">
        <v>0</v>
      </c>
      <c r="E852" s="33">
        <v>0.64400000000000002</v>
      </c>
      <c r="F852" s="33">
        <f>SCE_Ds[[#This Row],[With Margins ($)]]-SCE_Ds[[#This Row],[ without Margins ( $)]]</f>
        <v>0</v>
      </c>
      <c r="G852" s="11" t="str">
        <f>IF(E851&lt;0.5,"Low", "High")</f>
        <v>High</v>
      </c>
      <c r="H852" s="9">
        <f>SCE_Ds[[#This Row],[Margins ($)]]/SCE_Ds[[#This Row],[With Margins ($)]]</f>
        <v>0</v>
      </c>
    </row>
    <row r="853" spans="1:8" x14ac:dyDescent="0.3">
      <c r="A853">
        <v>485410</v>
      </c>
      <c r="B853" t="s">
        <v>692</v>
      </c>
      <c r="C853" s="33">
        <v>0.56599999999999995</v>
      </c>
      <c r="D853" s="34">
        <v>0</v>
      </c>
      <c r="E853" s="33">
        <v>0.56599999999999995</v>
      </c>
      <c r="F853" s="33">
        <f>SCE_Ds[[#This Row],[With Margins ($)]]-SCE_Ds[[#This Row],[ without Margins ( $)]]</f>
        <v>0</v>
      </c>
      <c r="G853" s="11" t="str">
        <f>IF(E852&lt;0.5,"Low", "High")</f>
        <v>High</v>
      </c>
      <c r="H853" s="9">
        <f>SCE_Ds[[#This Row],[Margins ($)]]/SCE_Ds[[#This Row],[With Margins ($)]]</f>
        <v>0</v>
      </c>
    </row>
    <row r="854" spans="1:8" x14ac:dyDescent="0.3">
      <c r="A854">
        <v>311710</v>
      </c>
      <c r="B854" t="s">
        <v>177</v>
      </c>
      <c r="C854" s="33">
        <v>0.23899999999999999</v>
      </c>
      <c r="D854" s="33">
        <v>2.7E-2</v>
      </c>
      <c r="E854" s="33">
        <v>0.26600000000000001</v>
      </c>
      <c r="F854" s="33">
        <f>SCE_Ds[[#This Row],[With Margins ($)]]-SCE_Ds[[#This Row],[ without Margins ( $)]]</f>
        <v>2.7000000000000024E-2</v>
      </c>
      <c r="G854" s="11" t="str">
        <f>IF(E853&lt;0.5,"Low", "High")</f>
        <v>High</v>
      </c>
      <c r="H854" s="9">
        <f>SCE_Ds[[#This Row],[Margins ($)]]/SCE_Ds[[#This Row],[With Margins ($)]]</f>
        <v>0.10150375939849623</v>
      </c>
    </row>
    <row r="855" spans="1:8" x14ac:dyDescent="0.3">
      <c r="A855">
        <v>334511</v>
      </c>
      <c r="B855" t="s">
        <v>438</v>
      </c>
      <c r="C855" s="33">
        <v>5.1999999999999998E-2</v>
      </c>
      <c r="D855" s="33">
        <v>1.9E-2</v>
      </c>
      <c r="E855" s="33">
        <v>7.0999999999999994E-2</v>
      </c>
      <c r="F855" s="33">
        <f>SCE_Ds[[#This Row],[With Margins ($)]]-SCE_Ds[[#This Row],[ without Margins ( $)]]</f>
        <v>1.8999999999999996E-2</v>
      </c>
      <c r="G855" s="11" t="str">
        <f>IF(E854&lt;0.5,"Low", "High")</f>
        <v>Low</v>
      </c>
      <c r="H855" s="9">
        <f>SCE_Ds[[#This Row],[Margins ($)]]/SCE_Ds[[#This Row],[With Margins ($)]]</f>
        <v>0.26760563380281693</v>
      </c>
    </row>
    <row r="856" spans="1:8" x14ac:dyDescent="0.3">
      <c r="A856">
        <v>522294</v>
      </c>
      <c r="B856" t="s">
        <v>770</v>
      </c>
      <c r="C856" s="33">
        <v>7.1999999999999995E-2</v>
      </c>
      <c r="D856" s="33">
        <v>0</v>
      </c>
      <c r="E856" s="33">
        <v>7.1999999999999995E-2</v>
      </c>
      <c r="F856" s="33">
        <f>SCE_Ds[[#This Row],[With Margins ($)]]-SCE_Ds[[#This Row],[ without Margins ( $)]]</f>
        <v>0</v>
      </c>
      <c r="G856" s="11" t="str">
        <f>IF(E855&lt;0.5,"Low", "High")</f>
        <v>Low</v>
      </c>
      <c r="H856" s="9">
        <f>SCE_Ds[[#This Row],[Margins ($)]]/SCE_Ds[[#This Row],[With Margins ($)]]</f>
        <v>0</v>
      </c>
    </row>
    <row r="857" spans="1:8" x14ac:dyDescent="0.3">
      <c r="A857">
        <v>331492</v>
      </c>
      <c r="B857" t="s">
        <v>334</v>
      </c>
      <c r="C857" s="33">
        <v>0.41399999999999998</v>
      </c>
      <c r="D857" s="33">
        <v>1.7999999999999999E-2</v>
      </c>
      <c r="E857" s="33">
        <v>0.43099999999999999</v>
      </c>
      <c r="F857" s="33">
        <f>SCE_Ds[[#This Row],[With Margins ($)]]-SCE_Ds[[#This Row],[ without Margins ( $)]]</f>
        <v>1.7000000000000015E-2</v>
      </c>
      <c r="G857" s="11" t="str">
        <f>IF(E856&lt;0.5,"Low", "High")</f>
        <v>Low</v>
      </c>
      <c r="H857" s="9">
        <f>SCE_Ds[[#This Row],[Margins ($)]]/SCE_Ds[[#This Row],[With Margins ($)]]</f>
        <v>4.1763341067285381E-2</v>
      </c>
    </row>
    <row r="858" spans="1:8" x14ac:dyDescent="0.3">
      <c r="A858">
        <v>523210</v>
      </c>
      <c r="B858" t="s">
        <v>780</v>
      </c>
      <c r="C858" s="33">
        <v>4.2999999999999997E-2</v>
      </c>
      <c r="D858" s="33">
        <v>0</v>
      </c>
      <c r="E858" s="33">
        <v>4.2999999999999997E-2</v>
      </c>
      <c r="F858" s="33">
        <f>SCE_Ds[[#This Row],[With Margins ($)]]-SCE_Ds[[#This Row],[ without Margins ( $)]]</f>
        <v>0</v>
      </c>
      <c r="G858" s="11" t="str">
        <f>IF(E857&lt;0.5,"Low", "High")</f>
        <v>Low</v>
      </c>
      <c r="H858" s="9">
        <f>SCE_Ds[[#This Row],[Margins ($)]]/SCE_Ds[[#This Row],[With Margins ($)]]</f>
        <v>0</v>
      </c>
    </row>
    <row r="859" spans="1:8" x14ac:dyDescent="0.3">
      <c r="A859">
        <v>523120</v>
      </c>
      <c r="B859" t="s">
        <v>777</v>
      </c>
      <c r="C859" s="33">
        <v>4.2999999999999997E-2</v>
      </c>
      <c r="D859" s="33">
        <v>0</v>
      </c>
      <c r="E859" s="33">
        <v>4.2999999999999997E-2</v>
      </c>
      <c r="F859" s="33">
        <f>SCE_Ds[[#This Row],[With Margins ($)]]-SCE_Ds[[#This Row],[ without Margins ( $)]]</f>
        <v>0</v>
      </c>
      <c r="G859" s="11" t="str">
        <f>IF(E858&lt;0.5,"Low", "High")</f>
        <v>Low</v>
      </c>
      <c r="H859" s="9">
        <f>SCE_Ds[[#This Row],[Margins ($)]]/SCE_Ds[[#This Row],[With Margins ($)]]</f>
        <v>0</v>
      </c>
    </row>
    <row r="860" spans="1:8" x14ac:dyDescent="0.3">
      <c r="A860">
        <v>561612</v>
      </c>
      <c r="B860" t="s">
        <v>906</v>
      </c>
      <c r="C860" s="33">
        <v>7.3999999999999996E-2</v>
      </c>
      <c r="D860" s="33">
        <v>0</v>
      </c>
      <c r="E860" s="33">
        <v>7.3999999999999996E-2</v>
      </c>
      <c r="F860" s="33">
        <f>SCE_Ds[[#This Row],[With Margins ($)]]-SCE_Ds[[#This Row],[ without Margins ( $)]]</f>
        <v>0</v>
      </c>
      <c r="G860" s="11" t="str">
        <f>IF(E859&lt;0.5,"Low", "High")</f>
        <v>Low</v>
      </c>
      <c r="H860" s="9">
        <f>SCE_Ds[[#This Row],[Margins ($)]]/SCE_Ds[[#This Row],[With Margins ($)]]</f>
        <v>0</v>
      </c>
    </row>
    <row r="861" spans="1:8" x14ac:dyDescent="0.3">
      <c r="A861">
        <v>561621</v>
      </c>
      <c r="B861" t="s">
        <v>908</v>
      </c>
      <c r="C861" s="33">
        <v>7.3999999999999996E-2</v>
      </c>
      <c r="D861" s="33">
        <v>0</v>
      </c>
      <c r="E861" s="33">
        <v>7.3999999999999996E-2</v>
      </c>
      <c r="F861" s="33">
        <f>SCE_Ds[[#This Row],[With Margins ($)]]-SCE_Ds[[#This Row],[ without Margins ( $)]]</f>
        <v>0</v>
      </c>
      <c r="G861" s="11" t="str">
        <f>IF(E860&lt;0.5,"Low", "High")</f>
        <v>Low</v>
      </c>
      <c r="H861" s="9">
        <f>SCE_Ds[[#This Row],[Margins ($)]]/SCE_Ds[[#This Row],[With Margins ($)]]</f>
        <v>0</v>
      </c>
    </row>
    <row r="862" spans="1:8" x14ac:dyDescent="0.3">
      <c r="A862">
        <v>334413</v>
      </c>
      <c r="B862" t="s">
        <v>432</v>
      </c>
      <c r="C862" s="33">
        <v>0.188</v>
      </c>
      <c r="D862" s="33">
        <v>2.8000000000000001E-2</v>
      </c>
      <c r="E862" s="33">
        <v>0.215</v>
      </c>
      <c r="F862" s="33">
        <f>SCE_Ds[[#This Row],[With Margins ($)]]-SCE_Ds[[#This Row],[ without Margins ( $)]]</f>
        <v>2.6999999999999996E-2</v>
      </c>
      <c r="G862" s="11" t="str">
        <f>IF(E861&lt;0.5,"Low", "High")</f>
        <v>Low</v>
      </c>
      <c r="H862" s="9">
        <f>SCE_Ds[[#This Row],[Margins ($)]]/SCE_Ds[[#This Row],[With Margins ($)]]</f>
        <v>0.13023255813953488</v>
      </c>
    </row>
    <row r="863" spans="1:8" x14ac:dyDescent="0.3">
      <c r="A863">
        <v>333242</v>
      </c>
      <c r="B863" t="s">
        <v>387</v>
      </c>
      <c r="C863" s="33">
        <v>0.13</v>
      </c>
      <c r="D863" s="33">
        <v>0.02</v>
      </c>
      <c r="E863" s="33">
        <v>0.15</v>
      </c>
      <c r="F863" s="33">
        <f>SCE_Ds[[#This Row],[With Margins ($)]]-SCE_Ds[[#This Row],[ without Margins ( $)]]</f>
        <v>1.999999999999999E-2</v>
      </c>
      <c r="G863" s="11" t="str">
        <f>IF(E862&lt;0.5,"Low", "High")</f>
        <v>Low</v>
      </c>
      <c r="H863" s="9">
        <f>SCE_Ds[[#This Row],[Margins ($)]]/SCE_Ds[[#This Row],[With Margins ($)]]</f>
        <v>0.13333333333333333</v>
      </c>
    </row>
    <row r="864" spans="1:8" x14ac:dyDescent="0.3">
      <c r="A864">
        <v>562991</v>
      </c>
      <c r="B864" t="s">
        <v>927</v>
      </c>
      <c r="C864" s="33">
        <v>0.98799999999999999</v>
      </c>
      <c r="D864" s="34">
        <v>0</v>
      </c>
      <c r="E864" s="33">
        <v>0.98799999999999999</v>
      </c>
      <c r="F864" s="33">
        <f>SCE_Ds[[#This Row],[With Margins ($)]]-SCE_Ds[[#This Row],[ without Margins ( $)]]</f>
        <v>0</v>
      </c>
      <c r="G864" s="11" t="str">
        <f>IF(E863&lt;0.5,"Low", "High")</f>
        <v>Low</v>
      </c>
      <c r="H864" s="9">
        <f>SCE_Ds[[#This Row],[Margins ($)]]/SCE_Ds[[#This Row],[With Margins ($)]]</f>
        <v>0</v>
      </c>
    </row>
    <row r="865" spans="1:8" x14ac:dyDescent="0.3">
      <c r="A865">
        <v>423850</v>
      </c>
      <c r="B865" t="s">
        <v>557</v>
      </c>
      <c r="C865" s="33">
        <v>0.115</v>
      </c>
      <c r="D865" s="33">
        <v>0</v>
      </c>
      <c r="E865" s="33">
        <v>0.115</v>
      </c>
      <c r="F865" s="33">
        <f>SCE_Ds[[#This Row],[With Margins ($)]]-SCE_Ds[[#This Row],[ without Margins ( $)]]</f>
        <v>0</v>
      </c>
      <c r="G865" s="11" t="str">
        <f>IF(E864&lt;0.5,"Low", "High")</f>
        <v>High</v>
      </c>
      <c r="H865" s="9">
        <f>SCE_Ds[[#This Row],[Margins ($)]]/SCE_Ds[[#This Row],[With Margins ($)]]</f>
        <v>0</v>
      </c>
    </row>
    <row r="866" spans="1:8" x14ac:dyDescent="0.3">
      <c r="A866">
        <v>624120</v>
      </c>
      <c r="B866" t="s">
        <v>981</v>
      </c>
      <c r="C866" s="33">
        <v>0.11799999999999999</v>
      </c>
      <c r="D866" s="33">
        <v>0</v>
      </c>
      <c r="E866" s="33">
        <v>0.11799999999999999</v>
      </c>
      <c r="F866" s="33">
        <f>SCE_Ds[[#This Row],[With Margins ($)]]-SCE_Ds[[#This Row],[ without Margins ( $)]]</f>
        <v>0</v>
      </c>
      <c r="G866" s="11" t="str">
        <f>IF(E865&lt;0.5,"Low", "High")</f>
        <v>Low</v>
      </c>
      <c r="H866" s="9">
        <f>SCE_Ds[[#This Row],[Margins ($)]]/SCE_Ds[[#This Row],[With Margins ($)]]</f>
        <v>0</v>
      </c>
    </row>
    <row r="867" spans="1:8" x14ac:dyDescent="0.3">
      <c r="A867">
        <v>221320</v>
      </c>
      <c r="B867" t="s">
        <v>107</v>
      </c>
      <c r="C867" s="33">
        <v>0.57799999999999996</v>
      </c>
      <c r="D867" s="34">
        <v>0</v>
      </c>
      <c r="E867" s="33">
        <v>0.57799999999999996</v>
      </c>
      <c r="F867" s="33">
        <f>SCE_Ds[[#This Row],[With Margins ($)]]-SCE_Ds[[#This Row],[ without Margins ( $)]]</f>
        <v>0</v>
      </c>
      <c r="G867" s="11" t="str">
        <f>IF(E866&lt;0.5,"Low", "High")</f>
        <v>Low</v>
      </c>
      <c r="H867" s="9">
        <f>SCE_Ds[[#This Row],[Margins ($)]]/SCE_Ds[[#This Row],[With Margins ($)]]</f>
        <v>0</v>
      </c>
    </row>
    <row r="868" spans="1:8" x14ac:dyDescent="0.3">
      <c r="A868">
        <v>451130</v>
      </c>
      <c r="B868" t="s">
        <v>646</v>
      </c>
      <c r="C868" s="33">
        <v>0.111</v>
      </c>
      <c r="D868" s="33">
        <v>0</v>
      </c>
      <c r="E868" s="33">
        <v>0.111</v>
      </c>
      <c r="F868" s="33">
        <f>SCE_Ds[[#This Row],[With Margins ($)]]-SCE_Ds[[#This Row],[ without Margins ( $)]]</f>
        <v>0</v>
      </c>
      <c r="G868" s="11" t="str">
        <f>IF(E867&lt;0.5,"Low", "High")</f>
        <v>High</v>
      </c>
      <c r="H868" s="9">
        <f>SCE_Ds[[#This Row],[Margins ($)]]/SCE_Ds[[#This Row],[With Margins ($)]]</f>
        <v>0</v>
      </c>
    </row>
    <row r="869" spans="1:8" x14ac:dyDescent="0.3">
      <c r="A869">
        <v>112410</v>
      </c>
      <c r="B869" t="s">
        <v>50</v>
      </c>
      <c r="C869" s="33">
        <v>1.077</v>
      </c>
      <c r="D869" s="33">
        <v>5.0999999999999997E-2</v>
      </c>
      <c r="E869" s="33">
        <v>1.1279999999999999</v>
      </c>
      <c r="F869" s="33">
        <f>SCE_Ds[[#This Row],[With Margins ($)]]-SCE_Ds[[#This Row],[ without Margins ( $)]]</f>
        <v>5.0999999999999934E-2</v>
      </c>
      <c r="G869" s="11" t="str">
        <f>IF(E868&lt;0.5,"Low", "High")</f>
        <v>Low</v>
      </c>
      <c r="H869" s="9">
        <f>SCE_Ds[[#This Row],[Margins ($)]]/SCE_Ds[[#This Row],[With Margins ($)]]</f>
        <v>4.5212765957446811E-2</v>
      </c>
    </row>
    <row r="870" spans="1:8" x14ac:dyDescent="0.3">
      <c r="A870">
        <v>332322</v>
      </c>
      <c r="B870" t="s">
        <v>353</v>
      </c>
      <c r="C870" s="33">
        <v>0.19500000000000001</v>
      </c>
      <c r="D870" s="33">
        <v>2.5999999999999999E-2</v>
      </c>
      <c r="E870" s="33">
        <v>0.221</v>
      </c>
      <c r="F870" s="33">
        <f>SCE_Ds[[#This Row],[With Margins ($)]]-SCE_Ds[[#This Row],[ without Margins ( $)]]</f>
        <v>2.5999999999999995E-2</v>
      </c>
      <c r="G870" s="11" t="str">
        <f>IF(E869&lt;0.5,"Low", "High")</f>
        <v>High</v>
      </c>
      <c r="H870" s="9">
        <f>SCE_Ds[[#This Row],[Margins ($)]]/SCE_Ds[[#This Row],[With Margins ($)]]</f>
        <v>0.11764705882352941</v>
      </c>
    </row>
    <row r="871" spans="1:8" x14ac:dyDescent="0.3">
      <c r="A871">
        <v>112512</v>
      </c>
      <c r="B871" t="s">
        <v>53</v>
      </c>
      <c r="C871" s="33">
        <v>1.077</v>
      </c>
      <c r="D871" s="34">
        <v>5.0999999999999997E-2</v>
      </c>
      <c r="E871" s="33">
        <v>1.1279999999999999</v>
      </c>
      <c r="F871" s="33">
        <f>SCE_Ds[[#This Row],[With Margins ($)]]-SCE_Ds[[#This Row],[ without Margins ( $)]]</f>
        <v>5.0999999999999934E-2</v>
      </c>
      <c r="G871" s="11" t="str">
        <f>IF(E870&lt;0.5,"Low", "High")</f>
        <v>Low</v>
      </c>
      <c r="H871" s="9">
        <f>SCE_Ds[[#This Row],[Margins ($)]]/SCE_Ds[[#This Row],[With Margins ($)]]</f>
        <v>4.5212765957446811E-2</v>
      </c>
    </row>
    <row r="872" spans="1:8" x14ac:dyDescent="0.3">
      <c r="A872">
        <v>114112</v>
      </c>
      <c r="B872" t="s">
        <v>63</v>
      </c>
      <c r="C872" s="33">
        <v>0.127</v>
      </c>
      <c r="D872" s="33">
        <v>2.7E-2</v>
      </c>
      <c r="E872" s="33">
        <v>0.154</v>
      </c>
      <c r="F872" s="33">
        <f>SCE_Ds[[#This Row],[With Margins ($)]]-SCE_Ds[[#This Row],[ without Margins ( $)]]</f>
        <v>2.6999999999999996E-2</v>
      </c>
      <c r="G872" s="11" t="str">
        <f>IF(E871&lt;0.5,"Low", "High")</f>
        <v>High</v>
      </c>
      <c r="H872" s="9">
        <f>SCE_Ds[[#This Row],[Margins ($)]]/SCE_Ds[[#This Row],[With Margins ($)]]</f>
        <v>0.17532467532467533</v>
      </c>
    </row>
    <row r="873" spans="1:8" x14ac:dyDescent="0.3">
      <c r="A873">
        <v>336611</v>
      </c>
      <c r="B873" t="s">
        <v>491</v>
      </c>
      <c r="C873" s="33">
        <v>0.187</v>
      </c>
      <c r="D873" s="33">
        <v>8.0000000000000002E-3</v>
      </c>
      <c r="E873" s="33">
        <v>0.19600000000000001</v>
      </c>
      <c r="F873" s="33">
        <f>SCE_Ds[[#This Row],[With Margins ($)]]-SCE_Ds[[#This Row],[ without Margins ( $)]]</f>
        <v>9.000000000000008E-3</v>
      </c>
      <c r="G873" s="11" t="str">
        <f>IF(E872&lt;0.5,"Low", "High")</f>
        <v>Low</v>
      </c>
      <c r="H873" s="9">
        <f>SCE_Ds[[#This Row],[Margins ($)]]/SCE_Ds[[#This Row],[With Margins ($)]]</f>
        <v>4.0816326530612242E-2</v>
      </c>
    </row>
    <row r="874" spans="1:8" x14ac:dyDescent="0.3">
      <c r="A874">
        <v>448210</v>
      </c>
      <c r="B874" t="s">
        <v>641</v>
      </c>
      <c r="C874" s="33">
        <v>0.13800000000000001</v>
      </c>
      <c r="D874" s="33">
        <v>0</v>
      </c>
      <c r="E874" s="33">
        <v>0.13800000000000001</v>
      </c>
      <c r="F874" s="33">
        <f>SCE_Ds[[#This Row],[With Margins ($)]]-SCE_Ds[[#This Row],[ without Margins ( $)]]</f>
        <v>0</v>
      </c>
      <c r="G874" s="11" t="str">
        <f>IF(E873&lt;0.5,"Low", "High")</f>
        <v>Low</v>
      </c>
      <c r="H874" s="9">
        <f>SCE_Ds[[#This Row],[Margins ($)]]/SCE_Ds[[#This Row],[With Margins ($)]]</f>
        <v>0</v>
      </c>
    </row>
    <row r="875" spans="1:8" x14ac:dyDescent="0.3">
      <c r="A875">
        <v>482112</v>
      </c>
      <c r="B875" t="s">
        <v>672</v>
      </c>
      <c r="C875" s="33">
        <v>0.46600000000000003</v>
      </c>
      <c r="D875" s="33">
        <v>0</v>
      </c>
      <c r="E875" s="33">
        <v>0.46600000000000003</v>
      </c>
      <c r="F875" s="33">
        <f>SCE_Ds[[#This Row],[With Margins ($)]]-SCE_Ds[[#This Row],[ without Margins ( $)]]</f>
        <v>0</v>
      </c>
      <c r="G875" s="11" t="str">
        <f>IF(E874&lt;0.5,"Low", "High")</f>
        <v>Low</v>
      </c>
      <c r="H875" s="9">
        <f>SCE_Ds[[#This Row],[Margins ($)]]/SCE_Ds[[#This Row],[With Margins ($)]]</f>
        <v>0</v>
      </c>
    </row>
    <row r="876" spans="1:8" x14ac:dyDescent="0.3">
      <c r="A876">
        <v>337215</v>
      </c>
      <c r="B876" t="s">
        <v>507</v>
      </c>
      <c r="C876" s="33">
        <v>0.20599999999999999</v>
      </c>
      <c r="D876" s="33">
        <v>0.04</v>
      </c>
      <c r="E876" s="33">
        <v>0.246</v>
      </c>
      <c r="F876" s="33">
        <f>SCE_Ds[[#This Row],[With Margins ($)]]-SCE_Ds[[#This Row],[ without Margins ( $)]]</f>
        <v>4.0000000000000008E-2</v>
      </c>
      <c r="G876" s="11" t="str">
        <f>IF(E875&lt;0.5,"Low", "High")</f>
        <v>Low</v>
      </c>
      <c r="H876" s="9">
        <f>SCE_Ds[[#This Row],[Margins ($)]]/SCE_Ds[[#This Row],[With Margins ($)]]</f>
        <v>0.16260162601626016</v>
      </c>
    </row>
    <row r="877" spans="1:8" x14ac:dyDescent="0.3">
      <c r="A877">
        <v>238170</v>
      </c>
      <c r="B877" t="s">
        <v>134</v>
      </c>
      <c r="C877" s="33">
        <v>0.221</v>
      </c>
      <c r="D877" s="33">
        <v>0</v>
      </c>
      <c r="E877" s="33">
        <v>0.221</v>
      </c>
      <c r="F877" s="33">
        <f>SCE_Ds[[#This Row],[With Margins ($)]]-SCE_Ds[[#This Row],[ without Margins ( $)]]</f>
        <v>0</v>
      </c>
      <c r="G877" s="11" t="str">
        <f>IF(E876&lt;0.5,"Low", "High")</f>
        <v>Low</v>
      </c>
      <c r="H877" s="9">
        <f>SCE_Ds[[#This Row],[Margins ($)]]/SCE_Ds[[#This Row],[With Margins ($)]]</f>
        <v>0</v>
      </c>
    </row>
    <row r="878" spans="1:8" x14ac:dyDescent="0.3">
      <c r="A878">
        <v>339950</v>
      </c>
      <c r="B878" t="s">
        <v>519</v>
      </c>
      <c r="C878" s="33">
        <v>0.187</v>
      </c>
      <c r="D878" s="33">
        <v>6.3E-2</v>
      </c>
      <c r="E878" s="33">
        <v>0.25</v>
      </c>
      <c r="F878" s="33">
        <f>SCE_Ds[[#This Row],[With Margins ($)]]-SCE_Ds[[#This Row],[ without Margins ( $)]]</f>
        <v>6.3E-2</v>
      </c>
      <c r="G878" s="11" t="str">
        <f>IF(E877&lt;0.5,"Low", "High")</f>
        <v>Low</v>
      </c>
      <c r="H878" s="9">
        <f>SCE_Ds[[#This Row],[Margins ($)]]/SCE_Ds[[#This Row],[With Margins ($)]]</f>
        <v>0.252</v>
      </c>
    </row>
    <row r="879" spans="1:8" x14ac:dyDescent="0.3">
      <c r="A879">
        <v>212222</v>
      </c>
      <c r="B879" t="s">
        <v>82</v>
      </c>
      <c r="C879" s="33">
        <v>0.54</v>
      </c>
      <c r="D879" s="34">
        <v>5.3999999999999999E-2</v>
      </c>
      <c r="E879" s="33">
        <v>0.59299999999999997</v>
      </c>
      <c r="F879" s="33">
        <f>SCE_Ds[[#This Row],[With Margins ($)]]-SCE_Ds[[#This Row],[ without Margins ( $)]]</f>
        <v>5.2999999999999936E-2</v>
      </c>
      <c r="G879" s="11" t="str">
        <f>IF(E878&lt;0.5,"Low", "High")</f>
        <v>Low</v>
      </c>
      <c r="H879" s="9">
        <f>SCE_Ds[[#This Row],[Margins ($)]]/SCE_Ds[[#This Row],[With Margins ($)]]</f>
        <v>9.1062394603709948E-2</v>
      </c>
    </row>
    <row r="880" spans="1:8" x14ac:dyDescent="0.3">
      <c r="A880">
        <v>238910</v>
      </c>
      <c r="B880" t="s">
        <v>145</v>
      </c>
      <c r="C880" s="33">
        <v>0.221</v>
      </c>
      <c r="D880" s="33">
        <v>0</v>
      </c>
      <c r="E880" s="33">
        <v>0.221</v>
      </c>
      <c r="F880" s="33">
        <f>SCE_Ds[[#This Row],[With Margins ($)]]-SCE_Ds[[#This Row],[ without Margins ( $)]]</f>
        <v>0</v>
      </c>
      <c r="G880" s="11" t="str">
        <f>IF(E879&lt;0.5,"Low", "High")</f>
        <v>High</v>
      </c>
      <c r="H880" s="9">
        <f>SCE_Ds[[#This Row],[Margins ($)]]/SCE_Ds[[#This Row],[With Margins ($)]]</f>
        <v>0</v>
      </c>
    </row>
    <row r="881" spans="1:8" x14ac:dyDescent="0.3">
      <c r="A881">
        <v>713920</v>
      </c>
      <c r="B881" t="s">
        <v>1011</v>
      </c>
      <c r="C881" s="33">
        <v>0.23499999999999999</v>
      </c>
      <c r="D881" s="33">
        <v>0</v>
      </c>
      <c r="E881" s="33">
        <v>0.23499999999999999</v>
      </c>
      <c r="F881" s="33">
        <f>SCE_Ds[[#This Row],[With Margins ($)]]-SCE_Ds[[#This Row],[ without Margins ( $)]]</f>
        <v>0</v>
      </c>
      <c r="G881" s="11" t="str">
        <f>IF(E880&lt;0.5,"Low", "High")</f>
        <v>Low</v>
      </c>
      <c r="H881" s="9">
        <f>SCE_Ds[[#This Row],[Margins ($)]]/SCE_Ds[[#This Row],[With Margins ($)]]</f>
        <v>0</v>
      </c>
    </row>
    <row r="882" spans="1:8" x14ac:dyDescent="0.3">
      <c r="A882">
        <v>332992</v>
      </c>
      <c r="B882" t="s">
        <v>374</v>
      </c>
      <c r="C882" s="33">
        <v>0.115</v>
      </c>
      <c r="D882" s="33">
        <v>5.3999999999999999E-2</v>
      </c>
      <c r="E882" s="33">
        <v>0.16800000000000001</v>
      </c>
      <c r="F882" s="33">
        <f>SCE_Ds[[#This Row],[With Margins ($)]]-SCE_Ds[[#This Row],[ without Margins ( $)]]</f>
        <v>5.3000000000000005E-2</v>
      </c>
      <c r="G882" s="11" t="str">
        <f>IF(E881&lt;0.5,"Low", "High")</f>
        <v>Low</v>
      </c>
      <c r="H882" s="9">
        <f>SCE_Ds[[#This Row],[Margins ($)]]/SCE_Ds[[#This Row],[With Margins ($)]]</f>
        <v>0.3214285714285714</v>
      </c>
    </row>
    <row r="883" spans="1:8" x14ac:dyDescent="0.3">
      <c r="A883">
        <v>332994</v>
      </c>
      <c r="B883" t="s">
        <v>377</v>
      </c>
      <c r="C883" s="33">
        <v>0.115</v>
      </c>
      <c r="D883" s="33">
        <v>5.3999999999999999E-2</v>
      </c>
      <c r="E883" s="33">
        <v>0.16800000000000001</v>
      </c>
      <c r="F883" s="33">
        <f>SCE_Ds[[#This Row],[With Margins ($)]]-SCE_Ds[[#This Row],[ without Margins ( $)]]</f>
        <v>5.3000000000000005E-2</v>
      </c>
      <c r="G883" s="11" t="str">
        <f>IF(E882&lt;0.5,"Low", "High")</f>
        <v>Low</v>
      </c>
      <c r="H883" s="9">
        <f>SCE_Ds[[#This Row],[Margins ($)]]/SCE_Ds[[#This Row],[With Margins ($)]]</f>
        <v>0.3214285714285714</v>
      </c>
    </row>
    <row r="884" spans="1:8" x14ac:dyDescent="0.3">
      <c r="A884">
        <v>335210</v>
      </c>
      <c r="B884" t="s">
        <v>453</v>
      </c>
      <c r="C884" s="33">
        <v>0.106</v>
      </c>
      <c r="D884" s="33">
        <v>5.0999999999999997E-2</v>
      </c>
      <c r="E884" s="33">
        <v>0.157</v>
      </c>
      <c r="F884" s="33">
        <f>SCE_Ds[[#This Row],[With Margins ($)]]-SCE_Ds[[#This Row],[ without Margins ( $)]]</f>
        <v>5.1000000000000004E-2</v>
      </c>
      <c r="G884" s="11" t="str">
        <f>IF(E883&lt;0.5,"Low", "High")</f>
        <v>Low</v>
      </c>
      <c r="H884" s="9">
        <f>SCE_Ds[[#This Row],[Margins ($)]]/SCE_Ds[[#This Row],[With Margins ($)]]</f>
        <v>0.32484076433121017</v>
      </c>
    </row>
    <row r="885" spans="1:8" x14ac:dyDescent="0.3">
      <c r="A885">
        <v>722515</v>
      </c>
      <c r="B885" t="s">
        <v>1031</v>
      </c>
      <c r="C885" s="33">
        <v>0.13200000000000001</v>
      </c>
      <c r="D885" s="33">
        <v>0</v>
      </c>
      <c r="E885" s="33">
        <v>0.13200000000000001</v>
      </c>
      <c r="F885" s="33">
        <f>SCE_Ds[[#This Row],[With Margins ($)]]-SCE_Ds[[#This Row],[ without Margins ( $)]]</f>
        <v>0</v>
      </c>
      <c r="G885" s="11" t="str">
        <f>IF(E884&lt;0.5,"Low", "High")</f>
        <v>Low</v>
      </c>
      <c r="H885" s="9">
        <f>SCE_Ds[[#This Row],[Margins ($)]]/SCE_Ds[[#This Row],[With Margins ($)]]</f>
        <v>0</v>
      </c>
    </row>
    <row r="886" spans="1:8" x14ac:dyDescent="0.3">
      <c r="A886">
        <v>325611</v>
      </c>
      <c r="B886" t="s">
        <v>279</v>
      </c>
      <c r="C886" s="33">
        <v>0.315</v>
      </c>
      <c r="D886" s="34">
        <v>0.04</v>
      </c>
      <c r="E886" s="33">
        <v>0.35499999999999998</v>
      </c>
      <c r="F886" s="33">
        <f>SCE_Ds[[#This Row],[With Margins ($)]]-SCE_Ds[[#This Row],[ without Margins ( $)]]</f>
        <v>3.999999999999998E-2</v>
      </c>
      <c r="G886" s="11" t="str">
        <f>IF(E885&lt;0.5,"Low", "High")</f>
        <v>Low</v>
      </c>
      <c r="H886" s="9">
        <f>SCE_Ds[[#This Row],[Margins ($)]]/SCE_Ds[[#This Row],[With Margins ($)]]</f>
        <v>0.11267605633802817</v>
      </c>
    </row>
    <row r="887" spans="1:8" x14ac:dyDescent="0.3">
      <c r="A887">
        <v>312111</v>
      </c>
      <c r="B887" t="s">
        <v>193</v>
      </c>
      <c r="C887" s="33">
        <v>0.17299999999999999</v>
      </c>
      <c r="D887" s="33">
        <v>4.2000000000000003E-2</v>
      </c>
      <c r="E887" s="33">
        <v>0.214</v>
      </c>
      <c r="F887" s="33">
        <f>SCE_Ds[[#This Row],[With Margins ($)]]-SCE_Ds[[#This Row],[ without Margins ( $)]]</f>
        <v>4.1000000000000009E-2</v>
      </c>
      <c r="G887" s="11" t="str">
        <f>IF(E886&lt;0.5,"Low", "High")</f>
        <v>Low</v>
      </c>
      <c r="H887" s="9">
        <f>SCE_Ds[[#This Row],[Margins ($)]]/SCE_Ds[[#This Row],[With Margins ($)]]</f>
        <v>0.19626168224299068</v>
      </c>
    </row>
    <row r="888" spans="1:8" x14ac:dyDescent="0.3">
      <c r="A888">
        <v>334614</v>
      </c>
      <c r="B888" t="s">
        <v>448</v>
      </c>
      <c r="C888" s="33">
        <v>4.2999999999999997E-2</v>
      </c>
      <c r="D888" s="33">
        <v>2.1000000000000001E-2</v>
      </c>
      <c r="E888" s="33">
        <v>6.3E-2</v>
      </c>
      <c r="F888" s="33">
        <f>SCE_Ds[[#This Row],[With Margins ($)]]-SCE_Ds[[#This Row],[ without Margins ( $)]]</f>
        <v>2.0000000000000004E-2</v>
      </c>
      <c r="G888" s="11" t="str">
        <f>IF(E887&lt;0.5,"Low", "High")</f>
        <v>Low</v>
      </c>
      <c r="H888" s="9">
        <f>SCE_Ds[[#This Row],[Margins ($)]]/SCE_Ds[[#This Row],[With Margins ($)]]</f>
        <v>0.33333333333333337</v>
      </c>
    </row>
    <row r="889" spans="1:8" x14ac:dyDescent="0.3">
      <c r="A889">
        <v>511210</v>
      </c>
      <c r="B889" t="s">
        <v>731</v>
      </c>
      <c r="C889" s="33">
        <v>3.5999999999999997E-2</v>
      </c>
      <c r="D889" s="33">
        <v>4.4999999999999998E-2</v>
      </c>
      <c r="E889" s="33">
        <v>0.08</v>
      </c>
      <c r="F889" s="33">
        <f>SCE_Ds[[#This Row],[With Margins ($)]]-SCE_Ds[[#This Row],[ without Margins ( $)]]</f>
        <v>4.4000000000000004E-2</v>
      </c>
      <c r="G889" s="11" t="str">
        <f>IF(E888&lt;0.5,"Low", "High")</f>
        <v>Low</v>
      </c>
      <c r="H889" s="9">
        <f>SCE_Ds[[#This Row],[Margins ($)]]/SCE_Ds[[#This Row],[With Margins ($)]]</f>
        <v>0.5625</v>
      </c>
    </row>
    <row r="890" spans="1:8" x14ac:dyDescent="0.3">
      <c r="A890">
        <v>321212</v>
      </c>
      <c r="B890" t="s">
        <v>226</v>
      </c>
      <c r="C890" s="33">
        <v>0.187</v>
      </c>
      <c r="D890" s="33">
        <v>2.1000000000000001E-2</v>
      </c>
      <c r="E890" s="33">
        <v>0.20799999999999999</v>
      </c>
      <c r="F890" s="33">
        <f>SCE_Ds[[#This Row],[With Margins ($)]]-SCE_Ds[[#This Row],[ without Margins ( $)]]</f>
        <v>2.0999999999999991E-2</v>
      </c>
      <c r="G890" s="11" t="str">
        <f>IF(E889&lt;0.5,"Low", "High")</f>
        <v>Low</v>
      </c>
      <c r="H890" s="9">
        <f>SCE_Ds[[#This Row],[Margins ($)]]/SCE_Ds[[#This Row],[With Margins ($)]]</f>
        <v>0.10096153846153848</v>
      </c>
    </row>
    <row r="891" spans="1:8" x14ac:dyDescent="0.3">
      <c r="A891">
        <v>115112</v>
      </c>
      <c r="B891" t="s">
        <v>67</v>
      </c>
      <c r="C891" s="33">
        <v>0.38400000000000001</v>
      </c>
      <c r="D891" s="33">
        <v>0</v>
      </c>
      <c r="E891" s="33">
        <v>0.38400000000000001</v>
      </c>
      <c r="F891" s="33">
        <f>SCE_Ds[[#This Row],[With Margins ($)]]-SCE_Ds[[#This Row],[ without Margins ( $)]]</f>
        <v>0</v>
      </c>
      <c r="G891" s="11" t="str">
        <f>IF(E890&lt;0.5,"Low", "High")</f>
        <v>Low</v>
      </c>
      <c r="H891" s="9">
        <f>SCE_Ds[[#This Row],[Margins ($)]]/SCE_Ds[[#This Row],[With Margins ($)]]</f>
        <v>0</v>
      </c>
    </row>
    <row r="892" spans="1:8" x14ac:dyDescent="0.3">
      <c r="A892">
        <v>562111</v>
      </c>
      <c r="B892" t="s">
        <v>918</v>
      </c>
      <c r="C892" s="33">
        <v>0.98799999999999999</v>
      </c>
      <c r="D892" s="33">
        <v>0</v>
      </c>
      <c r="E892" s="33">
        <v>0.98799999999999999</v>
      </c>
      <c r="F892" s="33">
        <f>SCE_Ds[[#This Row],[With Margins ($)]]-SCE_Ds[[#This Row],[ without Margins ( $)]]</f>
        <v>0</v>
      </c>
      <c r="G892" s="11" t="str">
        <f>IF(E891&lt;0.5,"Low", "High")</f>
        <v>Low</v>
      </c>
      <c r="H892" s="9">
        <f>SCE_Ds[[#This Row],[Margins ($)]]/SCE_Ds[[#This Row],[With Margins ($)]]</f>
        <v>0</v>
      </c>
    </row>
    <row r="893" spans="1:8" x14ac:dyDescent="0.3">
      <c r="A893">
        <v>562213</v>
      </c>
      <c r="B893" t="s">
        <v>923</v>
      </c>
      <c r="C893" s="33">
        <v>0.98799999999999999</v>
      </c>
      <c r="D893" s="34">
        <v>0</v>
      </c>
      <c r="E893" s="33">
        <v>0.98799999999999999</v>
      </c>
      <c r="F893" s="33">
        <f>SCE_Ds[[#This Row],[With Margins ($)]]-SCE_Ds[[#This Row],[ without Margins ( $)]]</f>
        <v>0</v>
      </c>
      <c r="G893" s="11" t="str">
        <f>IF(E892&lt;0.5,"Low", "High")</f>
        <v>High</v>
      </c>
      <c r="H893" s="9">
        <f>SCE_Ds[[#This Row],[Margins ($)]]/SCE_Ds[[#This Row],[With Margins ($)]]</f>
        <v>0</v>
      </c>
    </row>
    <row r="894" spans="1:8" x14ac:dyDescent="0.3">
      <c r="A894">
        <v>562212</v>
      </c>
      <c r="B894" t="s">
        <v>922</v>
      </c>
      <c r="C894" s="33">
        <v>0.98799999999999999</v>
      </c>
      <c r="D894" s="34">
        <v>0</v>
      </c>
      <c r="E894" s="33">
        <v>0.98799999999999999</v>
      </c>
      <c r="F894" s="33">
        <f>SCE_Ds[[#This Row],[With Margins ($)]]-SCE_Ds[[#This Row],[ without Margins ( $)]]</f>
        <v>0</v>
      </c>
      <c r="G894" s="11" t="str">
        <f>IF(E893&lt;0.5,"Low", "High")</f>
        <v>High</v>
      </c>
      <c r="H894" s="9">
        <f>SCE_Ds[[#This Row],[Margins ($)]]/SCE_Ds[[#This Row],[With Margins ($)]]</f>
        <v>0</v>
      </c>
    </row>
    <row r="895" spans="1:8" x14ac:dyDescent="0.3">
      <c r="A895">
        <v>512240</v>
      </c>
      <c r="B895" t="s">
        <v>739</v>
      </c>
      <c r="C895" s="33">
        <v>2.5999999999999999E-2</v>
      </c>
      <c r="D895" s="33">
        <v>1.7999999999999999E-2</v>
      </c>
      <c r="E895" s="33">
        <v>4.3999999999999997E-2</v>
      </c>
      <c r="F895" s="33">
        <f>SCE_Ds[[#This Row],[With Margins ($)]]-SCE_Ds[[#This Row],[ without Margins ( $)]]</f>
        <v>1.7999999999999999E-2</v>
      </c>
      <c r="G895" s="11" t="str">
        <f>IF(E894&lt;0.5,"Low", "High")</f>
        <v>High</v>
      </c>
      <c r="H895" s="9">
        <f>SCE_Ds[[#This Row],[Margins ($)]]/SCE_Ds[[#This Row],[With Margins ($)]]</f>
        <v>0.40909090909090906</v>
      </c>
    </row>
    <row r="896" spans="1:8" x14ac:dyDescent="0.3">
      <c r="A896">
        <v>311224</v>
      </c>
      <c r="B896" t="s">
        <v>153</v>
      </c>
      <c r="C896" s="33">
        <v>0.48099999999999998</v>
      </c>
      <c r="D896" s="34">
        <v>0.03</v>
      </c>
      <c r="E896" s="33">
        <v>0.51100000000000001</v>
      </c>
      <c r="F896" s="33">
        <f>SCE_Ds[[#This Row],[With Margins ($)]]-SCE_Ds[[#This Row],[ without Margins ( $)]]</f>
        <v>3.0000000000000027E-2</v>
      </c>
      <c r="G896" s="11" t="str">
        <f>IF(E895&lt;0.5,"Low", "High")</f>
        <v>Low</v>
      </c>
      <c r="H896" s="9">
        <f>SCE_Ds[[#This Row],[Margins ($)]]/SCE_Ds[[#This Row],[With Margins ($)]]</f>
        <v>5.8708414872798431E-2</v>
      </c>
    </row>
    <row r="897" spans="1:8" x14ac:dyDescent="0.3">
      <c r="A897">
        <v>111110</v>
      </c>
      <c r="B897" t="s">
        <v>4</v>
      </c>
      <c r="C897" s="33">
        <v>0.48799999999999999</v>
      </c>
      <c r="D897" s="34">
        <v>4.3999999999999997E-2</v>
      </c>
      <c r="E897" s="33">
        <v>0.53200000000000003</v>
      </c>
      <c r="F897" s="33">
        <f>SCE_Ds[[#This Row],[With Margins ($)]]-SCE_Ds[[#This Row],[ without Margins ( $)]]</f>
        <v>4.4000000000000039E-2</v>
      </c>
      <c r="G897" s="11" t="str">
        <f>IF(E896&lt;0.5,"Low", "High")</f>
        <v>High</v>
      </c>
      <c r="H897" s="9">
        <f>SCE_Ds[[#This Row],[Margins ($)]]/SCE_Ds[[#This Row],[With Margins ($)]]</f>
        <v>8.2706766917293228E-2</v>
      </c>
    </row>
    <row r="898" spans="1:8" x14ac:dyDescent="0.3">
      <c r="A898">
        <v>333514</v>
      </c>
      <c r="B898" t="s">
        <v>398</v>
      </c>
      <c r="C898" s="33">
        <v>0.184</v>
      </c>
      <c r="D898" s="33">
        <v>2.5999999999999999E-2</v>
      </c>
      <c r="E898" s="33">
        <v>0.21</v>
      </c>
      <c r="F898" s="33">
        <f>SCE_Ds[[#This Row],[With Margins ($)]]-SCE_Ds[[#This Row],[ without Margins ( $)]]</f>
        <v>2.5999999999999995E-2</v>
      </c>
      <c r="G898" s="11" t="str">
        <f>IF(E897&lt;0.5,"Low", "High")</f>
        <v>High</v>
      </c>
      <c r="H898" s="9">
        <f>SCE_Ds[[#This Row],[Margins ($)]]/SCE_Ds[[#This Row],[With Margins ($)]]</f>
        <v>0.12380952380952381</v>
      </c>
    </row>
    <row r="899" spans="1:8" x14ac:dyDescent="0.3">
      <c r="A899">
        <v>485991</v>
      </c>
      <c r="B899" t="s">
        <v>694</v>
      </c>
      <c r="C899" s="33">
        <v>0.56599999999999995</v>
      </c>
      <c r="D899" s="34">
        <v>0</v>
      </c>
      <c r="E899" s="33">
        <v>0.56599999999999995</v>
      </c>
      <c r="F899" s="33">
        <f>SCE_Ds[[#This Row],[With Margins ($)]]-SCE_Ds[[#This Row],[ without Margins ( $)]]</f>
        <v>0</v>
      </c>
      <c r="G899" s="11" t="str">
        <f>IF(E898&lt;0.5,"Low", "High")</f>
        <v>Low</v>
      </c>
      <c r="H899" s="9">
        <f>SCE_Ds[[#This Row],[Margins ($)]]/SCE_Ds[[#This Row],[With Margins ($)]]</f>
        <v>0</v>
      </c>
    </row>
    <row r="900" spans="1:8" x14ac:dyDescent="0.3">
      <c r="A900">
        <v>484220</v>
      </c>
      <c r="B900" t="s">
        <v>683</v>
      </c>
      <c r="C900" s="33">
        <v>0.59499999999999997</v>
      </c>
      <c r="D900" s="34">
        <v>0</v>
      </c>
      <c r="E900" s="33">
        <v>0.59499999999999997</v>
      </c>
      <c r="F900" s="33">
        <f>SCE_Ds[[#This Row],[With Margins ($)]]-SCE_Ds[[#This Row],[ without Margins ( $)]]</f>
        <v>0</v>
      </c>
      <c r="G900" s="11" t="str">
        <f>IF(E899&lt;0.5,"Low", "High")</f>
        <v>High</v>
      </c>
      <c r="H900" s="9">
        <f>SCE_Ds[[#This Row],[Margins ($)]]/SCE_Ds[[#This Row],[With Margins ($)]]</f>
        <v>0</v>
      </c>
    </row>
    <row r="901" spans="1:8" x14ac:dyDescent="0.3">
      <c r="A901">
        <v>484230</v>
      </c>
      <c r="B901" t="s">
        <v>684</v>
      </c>
      <c r="C901" s="33">
        <v>0.59499999999999997</v>
      </c>
      <c r="D901" s="34">
        <v>0</v>
      </c>
      <c r="E901" s="33">
        <v>0.59499999999999997</v>
      </c>
      <c r="F901" s="33">
        <f>SCE_Ds[[#This Row],[With Margins ($)]]-SCE_Ds[[#This Row],[ without Margins ( $)]]</f>
        <v>0</v>
      </c>
      <c r="G901" s="11" t="str">
        <f>IF(E900&lt;0.5,"Low", "High")</f>
        <v>High</v>
      </c>
      <c r="H901" s="9">
        <f>SCE_Ds[[#This Row],[Margins ($)]]/SCE_Ds[[#This Row],[With Margins ($)]]</f>
        <v>0</v>
      </c>
    </row>
    <row r="902" spans="1:8" x14ac:dyDescent="0.3">
      <c r="A902">
        <v>622310</v>
      </c>
      <c r="B902" t="s">
        <v>971</v>
      </c>
      <c r="C902" s="33">
        <v>0.14499999999999999</v>
      </c>
      <c r="D902" s="33">
        <v>0</v>
      </c>
      <c r="E902" s="33">
        <v>0.14499999999999999</v>
      </c>
      <c r="F902" s="33">
        <f>SCE_Ds[[#This Row],[With Margins ($)]]-SCE_Ds[[#This Row],[ without Margins ( $)]]</f>
        <v>0</v>
      </c>
      <c r="G902" s="11" t="str">
        <f>IF(E901&lt;0.5,"Low", "High")</f>
        <v>High</v>
      </c>
      <c r="H902" s="9">
        <f>SCE_Ds[[#This Row],[Margins ($)]]/SCE_Ds[[#This Row],[With Margins ($)]]</f>
        <v>0</v>
      </c>
    </row>
    <row r="903" spans="1:8" x14ac:dyDescent="0.3">
      <c r="A903">
        <v>311422</v>
      </c>
      <c r="B903" t="s">
        <v>164</v>
      </c>
      <c r="C903" s="33">
        <v>0.34300000000000003</v>
      </c>
      <c r="D903" s="33">
        <v>3.7999999999999999E-2</v>
      </c>
      <c r="E903" s="33">
        <v>0.38100000000000001</v>
      </c>
      <c r="F903" s="33">
        <f>SCE_Ds[[#This Row],[With Margins ($)]]-SCE_Ds[[#This Row],[ without Margins ( $)]]</f>
        <v>3.7999999999999978E-2</v>
      </c>
      <c r="G903" s="11" t="str">
        <f>IF(E902&lt;0.5,"Low", "High")</f>
        <v>Low</v>
      </c>
      <c r="H903" s="9">
        <f>SCE_Ds[[#This Row],[Margins ($)]]/SCE_Ds[[#This Row],[With Margins ($)]]</f>
        <v>9.9737532808398949E-2</v>
      </c>
    </row>
    <row r="904" spans="1:8" x14ac:dyDescent="0.3">
      <c r="A904">
        <v>333612</v>
      </c>
      <c r="B904" t="s">
        <v>404</v>
      </c>
      <c r="C904" s="33">
        <v>0.16300000000000001</v>
      </c>
      <c r="D904" s="33">
        <v>1.6E-2</v>
      </c>
      <c r="E904" s="33">
        <v>0.17899999999999999</v>
      </c>
      <c r="F904" s="33">
        <f>SCE_Ds[[#This Row],[With Margins ($)]]-SCE_Ds[[#This Row],[ without Margins ( $)]]</f>
        <v>1.5999999999999986E-2</v>
      </c>
      <c r="G904" s="11" t="str">
        <f>IF(E903&lt;0.5,"Low", "High")</f>
        <v>Low</v>
      </c>
      <c r="H904" s="9">
        <f>SCE_Ds[[#This Row],[Margins ($)]]/SCE_Ds[[#This Row],[With Margins ($)]]</f>
        <v>8.9385474860335198E-2</v>
      </c>
    </row>
    <row r="905" spans="1:8" x14ac:dyDescent="0.3">
      <c r="A905">
        <v>311942</v>
      </c>
      <c r="B905" t="s">
        <v>190</v>
      </c>
      <c r="C905" s="33">
        <v>0.30299999999999999</v>
      </c>
      <c r="D905" s="33">
        <v>0.04</v>
      </c>
      <c r="E905" s="33">
        <v>0.34399999999999997</v>
      </c>
      <c r="F905" s="33">
        <f>SCE_Ds[[#This Row],[With Margins ($)]]-SCE_Ds[[#This Row],[ without Margins ( $)]]</f>
        <v>4.0999999999999981E-2</v>
      </c>
      <c r="G905" s="11" t="str">
        <f>IF(E904&lt;0.5,"Low", "High")</f>
        <v>Low</v>
      </c>
      <c r="H905" s="9">
        <f>SCE_Ds[[#This Row],[Margins ($)]]/SCE_Ds[[#This Row],[With Margins ($)]]</f>
        <v>0.11627906976744187</v>
      </c>
    </row>
    <row r="906" spans="1:8" x14ac:dyDescent="0.3">
      <c r="A906">
        <v>339920</v>
      </c>
      <c r="B906" t="s">
        <v>516</v>
      </c>
      <c r="C906" s="33">
        <v>0.104</v>
      </c>
      <c r="D906" s="33">
        <v>6.4000000000000001E-2</v>
      </c>
      <c r="E906" s="33">
        <v>0.16700000000000001</v>
      </c>
      <c r="F906" s="33">
        <f>SCE_Ds[[#This Row],[With Margins ($)]]-SCE_Ds[[#This Row],[ without Margins ( $)]]</f>
        <v>6.3000000000000014E-2</v>
      </c>
      <c r="G906" s="11" t="str">
        <f>IF(E905&lt;0.5,"Low", "High")</f>
        <v>Low</v>
      </c>
      <c r="H906" s="9">
        <f>SCE_Ds[[#This Row],[Margins ($)]]/SCE_Ds[[#This Row],[With Margins ($)]]</f>
        <v>0.3832335329341317</v>
      </c>
    </row>
    <row r="907" spans="1:8" x14ac:dyDescent="0.3">
      <c r="A907">
        <v>423910</v>
      </c>
      <c r="B907" t="s">
        <v>559</v>
      </c>
      <c r="C907" s="33">
        <v>0.108</v>
      </c>
      <c r="D907" s="33">
        <v>0</v>
      </c>
      <c r="E907" s="33">
        <v>0.108</v>
      </c>
      <c r="F907" s="33">
        <f>SCE_Ds[[#This Row],[With Margins ($)]]-SCE_Ds[[#This Row],[ without Margins ( $)]]</f>
        <v>0</v>
      </c>
      <c r="G907" s="11" t="str">
        <f>IF(E906&lt;0.5,"Low", "High")</f>
        <v>Low</v>
      </c>
      <c r="H907" s="9">
        <f>SCE_Ds[[#This Row],[Margins ($)]]/SCE_Ds[[#This Row],[With Margins ($)]]</f>
        <v>0</v>
      </c>
    </row>
    <row r="908" spans="1:8" x14ac:dyDescent="0.3">
      <c r="A908">
        <v>451110</v>
      </c>
      <c r="B908" t="s">
        <v>644</v>
      </c>
      <c r="C908" s="33">
        <v>0.111</v>
      </c>
      <c r="D908" s="33">
        <v>0</v>
      </c>
      <c r="E908" s="33">
        <v>0.111</v>
      </c>
      <c r="F908" s="33">
        <f>SCE_Ds[[#This Row],[With Margins ($)]]-SCE_Ds[[#This Row],[ without Margins ( $)]]</f>
        <v>0</v>
      </c>
      <c r="G908" s="11" t="str">
        <f>IF(E907&lt;0.5,"Low", "High")</f>
        <v>Low</v>
      </c>
      <c r="H908" s="9">
        <f>SCE_Ds[[#This Row],[Margins ($)]]/SCE_Ds[[#This Row],[With Margins ($)]]</f>
        <v>0</v>
      </c>
    </row>
    <row r="909" spans="1:8" x14ac:dyDescent="0.3">
      <c r="A909">
        <v>611620</v>
      </c>
      <c r="B909" t="s">
        <v>942</v>
      </c>
      <c r="C909" s="33">
        <v>0.108</v>
      </c>
      <c r="D909" s="33">
        <v>0</v>
      </c>
      <c r="E909" s="33">
        <v>0.108</v>
      </c>
      <c r="F909" s="33">
        <f>SCE_Ds[[#This Row],[With Margins ($)]]-SCE_Ds[[#This Row],[ without Margins ( $)]]</f>
        <v>0</v>
      </c>
      <c r="G909" s="11" t="str">
        <f>IF(E908&lt;0.5,"Low", "High")</f>
        <v>Low</v>
      </c>
      <c r="H909" s="9">
        <f>SCE_Ds[[#This Row],[Margins ($)]]/SCE_Ds[[#This Row],[With Margins ($)]]</f>
        <v>0</v>
      </c>
    </row>
    <row r="910" spans="1:8" x14ac:dyDescent="0.3">
      <c r="A910">
        <v>711211</v>
      </c>
      <c r="B910" t="s">
        <v>994</v>
      </c>
      <c r="C910" s="33">
        <v>6.7000000000000004E-2</v>
      </c>
      <c r="D910" s="33">
        <v>0</v>
      </c>
      <c r="E910" s="33">
        <v>6.7000000000000004E-2</v>
      </c>
      <c r="F910" s="33">
        <f>SCE_Ds[[#This Row],[With Margins ($)]]-SCE_Ds[[#This Row],[ without Margins ( $)]]</f>
        <v>0</v>
      </c>
      <c r="G910" s="11" t="str">
        <f>IF(E909&lt;0.5,"Low", "High")</f>
        <v>Low</v>
      </c>
      <c r="H910" s="9">
        <f>SCE_Ds[[#This Row],[Margins ($)]]/SCE_Ds[[#This Row],[With Margins ($)]]</f>
        <v>0</v>
      </c>
    </row>
    <row r="911" spans="1:8" x14ac:dyDescent="0.3">
      <c r="A911">
        <v>332613</v>
      </c>
      <c r="B911" t="s">
        <v>360</v>
      </c>
      <c r="C911" s="33">
        <v>0.219</v>
      </c>
      <c r="D911" s="33">
        <v>1.4E-2</v>
      </c>
      <c r="E911" s="33">
        <v>0.23300000000000001</v>
      </c>
      <c r="F911" s="33">
        <f>SCE_Ds[[#This Row],[With Margins ($)]]-SCE_Ds[[#This Row],[ without Margins ( $)]]</f>
        <v>1.4000000000000012E-2</v>
      </c>
      <c r="G911" s="11" t="str">
        <f>IF(E910&lt;0.5,"Low", "High")</f>
        <v>Low</v>
      </c>
      <c r="H911" s="9">
        <f>SCE_Ds[[#This Row],[Margins ($)]]/SCE_Ds[[#This Row],[With Margins ($)]]</f>
        <v>6.0085836909871244E-2</v>
      </c>
    </row>
    <row r="912" spans="1:8" x14ac:dyDescent="0.3">
      <c r="A912">
        <v>424120</v>
      </c>
      <c r="B912" t="s">
        <v>566</v>
      </c>
      <c r="C912" s="33">
        <v>0.14399999999999999</v>
      </c>
      <c r="D912" s="33">
        <v>0</v>
      </c>
      <c r="E912" s="33">
        <v>0.14399999999999999</v>
      </c>
      <c r="F912" s="33">
        <f>SCE_Ds[[#This Row],[With Margins ($)]]-SCE_Ds[[#This Row],[ without Margins ( $)]]</f>
        <v>0</v>
      </c>
      <c r="G912" s="11" t="str">
        <f>IF(E911&lt;0.5,"Low", "High")</f>
        <v>Low</v>
      </c>
      <c r="H912" s="9">
        <f>SCE_Ds[[#This Row],[Margins ($)]]/SCE_Ds[[#This Row],[With Margins ($)]]</f>
        <v>0</v>
      </c>
    </row>
    <row r="913" spans="1:8" x14ac:dyDescent="0.3">
      <c r="A913">
        <v>322230</v>
      </c>
      <c r="B913" t="s">
        <v>246</v>
      </c>
      <c r="C913" s="33">
        <v>0.26500000000000001</v>
      </c>
      <c r="D913" s="33">
        <v>3.1E-2</v>
      </c>
      <c r="E913" s="33">
        <v>0.29599999999999999</v>
      </c>
      <c r="F913" s="33">
        <f>SCE_Ds[[#This Row],[With Margins ($)]]-SCE_Ds[[#This Row],[ without Margins ( $)]]</f>
        <v>3.0999999999999972E-2</v>
      </c>
      <c r="G913" s="11" t="str">
        <f>IF(E912&lt;0.5,"Low", "High")</f>
        <v>Low</v>
      </c>
      <c r="H913" s="9">
        <f>SCE_Ds[[#This Row],[Margins ($)]]/SCE_Ds[[#This Row],[With Margins ($)]]</f>
        <v>0.10472972972972973</v>
      </c>
    </row>
    <row r="914" spans="1:8" x14ac:dyDescent="0.3">
      <c r="A914">
        <v>221330</v>
      </c>
      <c r="B914" t="s">
        <v>108</v>
      </c>
      <c r="C914" s="33">
        <v>0.57799999999999996</v>
      </c>
      <c r="D914" s="34">
        <v>0</v>
      </c>
      <c r="E914" s="33">
        <v>0.57799999999999996</v>
      </c>
      <c r="F914" s="33">
        <f>SCE_Ds[[#This Row],[With Margins ($)]]-SCE_Ds[[#This Row],[ without Margins ( $)]]</f>
        <v>0</v>
      </c>
      <c r="G914" s="11" t="str">
        <f>IF(E913&lt;0.5,"Low", "High")</f>
        <v>Low</v>
      </c>
      <c r="H914" s="9">
        <f>SCE_Ds[[#This Row],[Margins ($)]]/SCE_Ds[[#This Row],[With Margins ($)]]</f>
        <v>0</v>
      </c>
    </row>
    <row r="915" spans="1:8" x14ac:dyDescent="0.3">
      <c r="A915">
        <v>331513</v>
      </c>
      <c r="B915" t="s">
        <v>337</v>
      </c>
      <c r="C915" s="33">
        <v>0.34899999999999998</v>
      </c>
      <c r="D915" s="33">
        <v>2.1000000000000001E-2</v>
      </c>
      <c r="E915" s="33">
        <v>0.36899999999999999</v>
      </c>
      <c r="F915" s="33">
        <f>SCE_Ds[[#This Row],[With Margins ($)]]-SCE_Ds[[#This Row],[ without Margins ( $)]]</f>
        <v>2.0000000000000018E-2</v>
      </c>
      <c r="G915" s="11" t="str">
        <f>IF(E914&lt;0.5,"Low", "High")</f>
        <v>High</v>
      </c>
      <c r="H915" s="9">
        <f>SCE_Ds[[#This Row],[Margins ($)]]/SCE_Ds[[#This Row],[With Margins ($)]]</f>
        <v>5.6910569105691061E-2</v>
      </c>
    </row>
    <row r="916" spans="1:8" x14ac:dyDescent="0.3">
      <c r="A916">
        <v>331512</v>
      </c>
      <c r="B916" t="s">
        <v>336</v>
      </c>
      <c r="C916" s="33">
        <v>0.34899999999999998</v>
      </c>
      <c r="D916" s="33">
        <v>2.1000000000000001E-2</v>
      </c>
      <c r="E916" s="33">
        <v>0.36899999999999999</v>
      </c>
      <c r="F916" s="33">
        <f>SCE_Ds[[#This Row],[With Margins ($)]]-SCE_Ds[[#This Row],[ without Margins ( $)]]</f>
        <v>2.0000000000000018E-2</v>
      </c>
      <c r="G916" s="11" t="str">
        <f>IF(E915&lt;0.5,"Low", "High")</f>
        <v>Low</v>
      </c>
      <c r="H916" s="9">
        <f>SCE_Ds[[#This Row],[Margins ($)]]/SCE_Ds[[#This Row],[With Margins ($)]]</f>
        <v>5.6910569105691061E-2</v>
      </c>
    </row>
    <row r="917" spans="1:8" x14ac:dyDescent="0.3">
      <c r="A917">
        <v>331222</v>
      </c>
      <c r="B917" t="s">
        <v>326</v>
      </c>
      <c r="C917" s="33">
        <v>0.34300000000000003</v>
      </c>
      <c r="D917" s="33">
        <v>1.7000000000000001E-2</v>
      </c>
      <c r="E917" s="33">
        <v>0.36</v>
      </c>
      <c r="F917" s="33">
        <f>SCE_Ds[[#This Row],[With Margins ($)]]-SCE_Ds[[#This Row],[ without Margins ( $)]]</f>
        <v>1.699999999999996E-2</v>
      </c>
      <c r="G917" s="11" t="str">
        <f>IF(E916&lt;0.5,"Low", "High")</f>
        <v>Low</v>
      </c>
      <c r="H917" s="9">
        <f>SCE_Ds[[#This Row],[Margins ($)]]/SCE_Ds[[#This Row],[With Margins ($)]]</f>
        <v>4.7222222222222228E-2</v>
      </c>
    </row>
    <row r="918" spans="1:8" x14ac:dyDescent="0.3">
      <c r="A918">
        <v>335911</v>
      </c>
      <c r="B918" t="s">
        <v>459</v>
      </c>
      <c r="C918" s="33">
        <v>0.311</v>
      </c>
      <c r="D918" s="33">
        <v>2.5999999999999999E-2</v>
      </c>
      <c r="E918" s="33">
        <v>0.33700000000000002</v>
      </c>
      <c r="F918" s="33">
        <f>SCE_Ds[[#This Row],[With Margins ($)]]-SCE_Ds[[#This Row],[ without Margins ( $)]]</f>
        <v>2.6000000000000023E-2</v>
      </c>
      <c r="G918" s="11" t="str">
        <f>IF(E917&lt;0.5,"Low", "High")</f>
        <v>Low</v>
      </c>
      <c r="H918" s="9">
        <f>SCE_Ds[[#This Row],[Margins ($)]]/SCE_Ds[[#This Row],[With Margins ($)]]</f>
        <v>7.7151335311572686E-2</v>
      </c>
    </row>
    <row r="919" spans="1:8" x14ac:dyDescent="0.3">
      <c r="A919">
        <v>111333</v>
      </c>
      <c r="B919" t="s">
        <v>22</v>
      </c>
      <c r="C919" s="33">
        <v>0.42899999999999999</v>
      </c>
      <c r="D919" s="33">
        <v>5.8999999999999997E-2</v>
      </c>
      <c r="E919" s="33">
        <v>0.48799999999999999</v>
      </c>
      <c r="F919" s="33">
        <f>SCE_Ds[[#This Row],[With Margins ($)]]-SCE_Ds[[#This Row],[ without Margins ( $)]]</f>
        <v>5.8999999999999997E-2</v>
      </c>
      <c r="G919" s="11" t="str">
        <f>IF(E918&lt;0.5,"Low", "High")</f>
        <v>Low</v>
      </c>
      <c r="H919" s="9">
        <f>SCE_Ds[[#This Row],[Margins ($)]]/SCE_Ds[[#This Row],[With Margins ($)]]</f>
        <v>0.12090163934426229</v>
      </c>
    </row>
    <row r="920" spans="1:8" x14ac:dyDescent="0.3">
      <c r="A920">
        <v>238120</v>
      </c>
      <c r="B920" t="s">
        <v>129</v>
      </c>
      <c r="C920" s="33">
        <v>0.221</v>
      </c>
      <c r="D920" s="33">
        <v>0</v>
      </c>
      <c r="E920" s="33">
        <v>0.221</v>
      </c>
      <c r="F920" s="33">
        <f>SCE_Ds[[#This Row],[With Margins ($)]]-SCE_Ds[[#This Row],[ without Margins ( $)]]</f>
        <v>0</v>
      </c>
      <c r="G920" s="11" t="str">
        <f>IF(E919&lt;0.5,"Low", "High")</f>
        <v>Low</v>
      </c>
      <c r="H920" s="9">
        <f>SCE_Ds[[#This Row],[Margins ($)]]/SCE_Ds[[#This Row],[With Margins ($)]]</f>
        <v>0</v>
      </c>
    </row>
    <row r="921" spans="1:8" x14ac:dyDescent="0.3">
      <c r="A921">
        <v>111991</v>
      </c>
      <c r="B921" t="s">
        <v>35</v>
      </c>
      <c r="C921" s="33">
        <v>0.70299999999999996</v>
      </c>
      <c r="D921" s="34">
        <v>3.6999999999999998E-2</v>
      </c>
      <c r="E921" s="33">
        <v>0.74</v>
      </c>
      <c r="F921" s="33">
        <f>SCE_Ds[[#This Row],[With Margins ($)]]-SCE_Ds[[#This Row],[ without Margins ( $)]]</f>
        <v>3.7000000000000033E-2</v>
      </c>
      <c r="G921" s="11" t="str">
        <f>IF(E920&lt;0.5,"Low", "High")</f>
        <v>Low</v>
      </c>
      <c r="H921" s="9">
        <f>SCE_Ds[[#This Row],[Margins ($)]]/SCE_Ds[[#This Row],[With Margins ($)]]</f>
        <v>4.9999999999999996E-2</v>
      </c>
    </row>
    <row r="922" spans="1:8" x14ac:dyDescent="0.3">
      <c r="A922">
        <v>111930</v>
      </c>
      <c r="B922" t="s">
        <v>33</v>
      </c>
      <c r="C922" s="33">
        <v>0.70299999999999996</v>
      </c>
      <c r="D922" s="34">
        <v>3.6999999999999998E-2</v>
      </c>
      <c r="E922" s="33">
        <v>0.74</v>
      </c>
      <c r="F922" s="33">
        <f>SCE_Ds[[#This Row],[With Margins ($)]]-SCE_Ds[[#This Row],[ without Margins ( $)]]</f>
        <v>3.7000000000000033E-2</v>
      </c>
      <c r="G922" s="11" t="str">
        <f>IF(E921&lt;0.5,"Low", "High")</f>
        <v>High</v>
      </c>
      <c r="H922" s="9">
        <f>SCE_Ds[[#This Row],[Margins ($)]]/SCE_Ds[[#This Row],[With Margins ($)]]</f>
        <v>4.9999999999999996E-2</v>
      </c>
    </row>
    <row r="923" spans="1:8" x14ac:dyDescent="0.3">
      <c r="A923">
        <v>445110</v>
      </c>
      <c r="B923" t="s">
        <v>619</v>
      </c>
      <c r="C923" s="33">
        <v>0.186</v>
      </c>
      <c r="D923" s="33">
        <v>0</v>
      </c>
      <c r="E923" s="33">
        <v>0.186</v>
      </c>
      <c r="F923" s="33">
        <f>SCE_Ds[[#This Row],[With Margins ($)]]-SCE_Ds[[#This Row],[ without Margins ( $)]]</f>
        <v>0</v>
      </c>
      <c r="G923" s="11" t="str">
        <f>IF(E922&lt;0.5,"Low", "High")</f>
        <v>High</v>
      </c>
      <c r="H923" s="9">
        <f>SCE_Ds[[#This Row],[Margins ($)]]/SCE_Ds[[#This Row],[With Margins ($)]]</f>
        <v>0</v>
      </c>
    </row>
    <row r="924" spans="1:8" x14ac:dyDescent="0.3">
      <c r="A924">
        <v>323120</v>
      </c>
      <c r="B924" t="s">
        <v>252</v>
      </c>
      <c r="C924" s="33">
        <v>0.214</v>
      </c>
      <c r="D924" s="33">
        <v>2.3E-2</v>
      </c>
      <c r="E924" s="33">
        <v>0.23699999999999999</v>
      </c>
      <c r="F924" s="33">
        <f>SCE_Ds[[#This Row],[With Margins ($)]]-SCE_Ds[[#This Row],[ without Margins ( $)]]</f>
        <v>2.2999999999999993E-2</v>
      </c>
      <c r="G924" s="11" t="str">
        <f>IF(E923&lt;0.5,"Low", "High")</f>
        <v>Low</v>
      </c>
      <c r="H924" s="9">
        <f>SCE_Ds[[#This Row],[Margins ($)]]/SCE_Ds[[#This Row],[With Margins ($)]]</f>
        <v>9.7046413502109713E-2</v>
      </c>
    </row>
    <row r="925" spans="1:8" x14ac:dyDescent="0.3">
      <c r="A925">
        <v>115210</v>
      </c>
      <c r="B925" t="s">
        <v>72</v>
      </c>
      <c r="C925" s="33">
        <v>0.38400000000000001</v>
      </c>
      <c r="D925" s="33">
        <v>0</v>
      </c>
      <c r="E925" s="33">
        <v>0.38400000000000001</v>
      </c>
      <c r="F925" s="33">
        <f>SCE_Ds[[#This Row],[With Margins ($)]]-SCE_Ds[[#This Row],[ without Margins ( $)]]</f>
        <v>0</v>
      </c>
      <c r="G925" s="11" t="str">
        <f>IF(E924&lt;0.5,"Low", "High")</f>
        <v>Low</v>
      </c>
      <c r="H925" s="9">
        <f>SCE_Ds[[#This Row],[Margins ($)]]/SCE_Ds[[#This Row],[With Margins ($)]]</f>
        <v>0</v>
      </c>
    </row>
    <row r="926" spans="1:8" x14ac:dyDescent="0.3">
      <c r="A926">
        <v>213113</v>
      </c>
      <c r="B926" t="s">
        <v>102</v>
      </c>
      <c r="C926" s="33">
        <v>0.372</v>
      </c>
      <c r="D926" s="33">
        <v>0</v>
      </c>
      <c r="E926" s="33">
        <v>0.372</v>
      </c>
      <c r="F926" s="33">
        <f>SCE_Ds[[#This Row],[With Margins ($)]]-SCE_Ds[[#This Row],[ without Margins ( $)]]</f>
        <v>0</v>
      </c>
      <c r="G926" s="11" t="str">
        <f>IF(E925&lt;0.5,"Low", "High")</f>
        <v>Low</v>
      </c>
      <c r="H926" s="9">
        <f>SCE_Ds[[#This Row],[Margins ($)]]/SCE_Ds[[#This Row],[With Margins ($)]]</f>
        <v>0</v>
      </c>
    </row>
    <row r="927" spans="1:8" x14ac:dyDescent="0.3">
      <c r="A927">
        <v>115310</v>
      </c>
      <c r="B927" t="s">
        <v>73</v>
      </c>
      <c r="C927" s="33">
        <v>0.38400000000000001</v>
      </c>
      <c r="D927" s="33">
        <v>0</v>
      </c>
      <c r="E927" s="33">
        <v>0.38400000000000001</v>
      </c>
      <c r="F927" s="33">
        <f>SCE_Ds[[#This Row],[With Margins ($)]]-SCE_Ds[[#This Row],[ without Margins ( $)]]</f>
        <v>0</v>
      </c>
      <c r="G927" s="11" t="str">
        <f>IF(E926&lt;0.5,"Low", "High")</f>
        <v>Low</v>
      </c>
      <c r="H927" s="9">
        <f>SCE_Ds[[#This Row],[Margins ($)]]/SCE_Ds[[#This Row],[With Margins ($)]]</f>
        <v>0</v>
      </c>
    </row>
    <row r="928" spans="1:8" x14ac:dyDescent="0.3">
      <c r="A928">
        <v>213114</v>
      </c>
      <c r="B928" t="s">
        <v>103</v>
      </c>
      <c r="C928" s="33">
        <v>0.372</v>
      </c>
      <c r="D928" s="33">
        <v>0</v>
      </c>
      <c r="E928" s="33">
        <v>0.372</v>
      </c>
      <c r="F928" s="33">
        <f>SCE_Ds[[#This Row],[With Margins ($)]]-SCE_Ds[[#This Row],[ without Margins ( $)]]</f>
        <v>0</v>
      </c>
      <c r="G928" s="11" t="str">
        <f>IF(E927&lt;0.5,"Low", "High")</f>
        <v>Low</v>
      </c>
      <c r="H928" s="9">
        <f>SCE_Ds[[#This Row],[Margins ($)]]/SCE_Ds[[#This Row],[With Margins ($)]]</f>
        <v>0</v>
      </c>
    </row>
    <row r="929" spans="1:8" x14ac:dyDescent="0.3">
      <c r="A929">
        <v>213115</v>
      </c>
      <c r="B929" t="s">
        <v>104</v>
      </c>
      <c r="C929" s="33">
        <v>0.372</v>
      </c>
      <c r="D929" s="33">
        <v>0</v>
      </c>
      <c r="E929" s="33">
        <v>0.372</v>
      </c>
      <c r="F929" s="33">
        <f>SCE_Ds[[#This Row],[With Margins ($)]]-SCE_Ds[[#This Row],[ without Margins ( $)]]</f>
        <v>0</v>
      </c>
      <c r="G929" s="11" t="str">
        <f>IF(E928&lt;0.5,"Low", "High")</f>
        <v>Low</v>
      </c>
      <c r="H929" s="9">
        <f>SCE_Ds[[#This Row],[Margins ($)]]/SCE_Ds[[#This Row],[With Margins ($)]]</f>
        <v>0</v>
      </c>
    </row>
    <row r="930" spans="1:8" x14ac:dyDescent="0.3">
      <c r="A930">
        <v>213112</v>
      </c>
      <c r="B930" t="s">
        <v>100</v>
      </c>
      <c r="C930" s="33">
        <v>0.372</v>
      </c>
      <c r="D930" s="33">
        <v>0</v>
      </c>
      <c r="E930" s="33">
        <v>0.372</v>
      </c>
      <c r="F930" s="33">
        <f>SCE_Ds[[#This Row],[With Margins ($)]]-SCE_Ds[[#This Row],[ without Margins ( $)]]</f>
        <v>0</v>
      </c>
      <c r="G930" s="11" t="str">
        <f>IF(E929&lt;0.5,"Low", "High")</f>
        <v>Low</v>
      </c>
      <c r="H930" s="9">
        <f>SCE_Ds[[#This Row],[Margins ($)]]/SCE_Ds[[#This Row],[With Margins ($)]]</f>
        <v>0</v>
      </c>
    </row>
    <row r="931" spans="1:8" x14ac:dyDescent="0.3">
      <c r="A931">
        <v>488210</v>
      </c>
      <c r="B931" t="s">
        <v>707</v>
      </c>
      <c r="C931" s="33">
        <v>0.16200000000000001</v>
      </c>
      <c r="D931" s="33">
        <v>0</v>
      </c>
      <c r="E931" s="33">
        <v>0.16200000000000001</v>
      </c>
      <c r="F931" s="33">
        <f>SCE_Ds[[#This Row],[With Margins ($)]]-SCE_Ds[[#This Row],[ without Margins ( $)]]</f>
        <v>0</v>
      </c>
      <c r="G931" s="11" t="str">
        <f>IF(E930&lt;0.5,"Low", "High")</f>
        <v>Low</v>
      </c>
      <c r="H931" s="9">
        <f>SCE_Ds[[#This Row],[Margins ($)]]/SCE_Ds[[#This Row],[With Margins ($)]]</f>
        <v>0</v>
      </c>
    </row>
    <row r="932" spans="1:8" x14ac:dyDescent="0.3">
      <c r="A932">
        <v>325613</v>
      </c>
      <c r="B932" t="s">
        <v>281</v>
      </c>
      <c r="C932" s="33">
        <v>0.315</v>
      </c>
      <c r="D932" s="33">
        <v>0.04</v>
      </c>
      <c r="E932" s="33">
        <v>0.35499999999999998</v>
      </c>
      <c r="F932" s="33">
        <f>SCE_Ds[[#This Row],[With Margins ($)]]-SCE_Ds[[#This Row],[ without Margins ( $)]]</f>
        <v>3.999999999999998E-2</v>
      </c>
      <c r="G932" s="11" t="str">
        <f>IF(E931&lt;0.5,"Low", "High")</f>
        <v>Low</v>
      </c>
      <c r="H932" s="9">
        <f>SCE_Ds[[#This Row],[Margins ($)]]/SCE_Ds[[#This Row],[With Margins ($)]]</f>
        <v>0.11267605633802817</v>
      </c>
    </row>
    <row r="933" spans="1:8" x14ac:dyDescent="0.3">
      <c r="A933">
        <v>339112</v>
      </c>
      <c r="B933" t="s">
        <v>510</v>
      </c>
      <c r="C933" s="33">
        <v>0.11899999999999999</v>
      </c>
      <c r="D933" s="33">
        <v>3.6999999999999998E-2</v>
      </c>
      <c r="E933" s="33">
        <v>0.156</v>
      </c>
      <c r="F933" s="33">
        <f>SCE_Ds[[#This Row],[With Margins ($)]]-SCE_Ds[[#This Row],[ without Margins ( $)]]</f>
        <v>3.7000000000000005E-2</v>
      </c>
      <c r="G933" s="11" t="str">
        <f>IF(E932&lt;0.5,"Low", "High")</f>
        <v>Low</v>
      </c>
      <c r="H933" s="9">
        <f>SCE_Ds[[#This Row],[Margins ($)]]/SCE_Ds[[#This Row],[With Margins ($)]]</f>
        <v>0.23717948717948717</v>
      </c>
    </row>
    <row r="934" spans="1:8" x14ac:dyDescent="0.3">
      <c r="A934">
        <v>339113</v>
      </c>
      <c r="B934" t="s">
        <v>511</v>
      </c>
      <c r="C934" s="33">
        <v>9.6000000000000002E-2</v>
      </c>
      <c r="D934" s="33">
        <v>4.4999999999999998E-2</v>
      </c>
      <c r="E934" s="33">
        <v>0.14000000000000001</v>
      </c>
      <c r="F934" s="33">
        <f>SCE_Ds[[#This Row],[With Margins ($)]]-SCE_Ds[[#This Row],[ without Margins ( $)]]</f>
        <v>4.4000000000000011E-2</v>
      </c>
      <c r="G934" s="11" t="str">
        <f>IF(E933&lt;0.5,"Low", "High")</f>
        <v>Low</v>
      </c>
      <c r="H934" s="9">
        <f>SCE_Ds[[#This Row],[Margins ($)]]/SCE_Ds[[#This Row],[With Margins ($)]]</f>
        <v>0.3214285714285714</v>
      </c>
    </row>
    <row r="935" spans="1:8" x14ac:dyDescent="0.3">
      <c r="A935">
        <v>541370</v>
      </c>
      <c r="B935" t="s">
        <v>844</v>
      </c>
      <c r="C935" s="33">
        <v>0.10299999999999999</v>
      </c>
      <c r="D935" s="33">
        <v>0</v>
      </c>
      <c r="E935" s="33">
        <v>0.10299999999999999</v>
      </c>
      <c r="F935" s="33">
        <f>SCE_Ds[[#This Row],[With Margins ($)]]-SCE_Ds[[#This Row],[ without Margins ( $)]]</f>
        <v>0</v>
      </c>
      <c r="G935" s="11" t="str">
        <f>IF(E934&lt;0.5,"Low", "High")</f>
        <v>Low</v>
      </c>
      <c r="H935" s="9">
        <f>SCE_Ds[[#This Row],[Margins ($)]]/SCE_Ds[[#This Row],[With Margins ($)]]</f>
        <v>0</v>
      </c>
    </row>
    <row r="936" spans="1:8" x14ac:dyDescent="0.3">
      <c r="A936">
        <v>335313</v>
      </c>
      <c r="B936" t="s">
        <v>457</v>
      </c>
      <c r="C936" s="33">
        <v>0.153</v>
      </c>
      <c r="D936" s="33">
        <v>2.1000000000000001E-2</v>
      </c>
      <c r="E936" s="33">
        <v>0.17399999999999999</v>
      </c>
      <c r="F936" s="33">
        <f>SCE_Ds[[#This Row],[With Margins ($)]]-SCE_Ds[[#This Row],[ without Margins ( $)]]</f>
        <v>2.0999999999999991E-2</v>
      </c>
      <c r="G936" s="11" t="str">
        <f>IF(E935&lt;0.5,"Low", "High")</f>
        <v>Low</v>
      </c>
      <c r="H936" s="9">
        <f>SCE_Ds[[#This Row],[Margins ($)]]/SCE_Ds[[#This Row],[With Margins ($)]]</f>
        <v>0.12068965517241381</v>
      </c>
    </row>
    <row r="937" spans="1:8" x14ac:dyDescent="0.3">
      <c r="A937">
        <v>325130</v>
      </c>
      <c r="B937" t="s">
        <v>260</v>
      </c>
      <c r="C937" s="33">
        <v>0.40600000000000003</v>
      </c>
      <c r="D937" s="34">
        <v>2.7E-2</v>
      </c>
      <c r="E937" s="33">
        <v>0.432</v>
      </c>
      <c r="F937" s="33">
        <f>SCE_Ds[[#This Row],[With Margins ($)]]-SCE_Ds[[#This Row],[ without Margins ( $)]]</f>
        <v>2.5999999999999968E-2</v>
      </c>
      <c r="G937" s="11" t="str">
        <f>IF(E936&lt;0.5,"Low", "High")</f>
        <v>Low</v>
      </c>
      <c r="H937" s="9">
        <f>SCE_Ds[[#This Row],[Margins ($)]]/SCE_Ds[[#This Row],[With Margins ($)]]</f>
        <v>6.25E-2</v>
      </c>
    </row>
    <row r="938" spans="1:8" x14ac:dyDescent="0.3">
      <c r="A938">
        <v>325212</v>
      </c>
      <c r="B938" t="s">
        <v>266</v>
      </c>
      <c r="C938" s="33">
        <v>0.88600000000000001</v>
      </c>
      <c r="D938" s="34">
        <v>1.6E-2</v>
      </c>
      <c r="E938" s="33">
        <v>0.90200000000000002</v>
      </c>
      <c r="F938" s="33">
        <f>SCE_Ds[[#This Row],[With Margins ($)]]-SCE_Ds[[#This Row],[ without Margins ( $)]]</f>
        <v>1.6000000000000014E-2</v>
      </c>
      <c r="G938" s="11" t="str">
        <f>IF(E937&lt;0.5,"Low", "High")</f>
        <v>Low</v>
      </c>
      <c r="H938" s="9">
        <f>SCE_Ds[[#This Row],[Margins ($)]]/SCE_Ds[[#This Row],[With Margins ($)]]</f>
        <v>1.7738359201773836E-2</v>
      </c>
    </row>
    <row r="939" spans="1:8" x14ac:dyDescent="0.3">
      <c r="A939">
        <v>541213</v>
      </c>
      <c r="B939" t="s">
        <v>835</v>
      </c>
      <c r="C939" s="33">
        <v>5.3999999999999999E-2</v>
      </c>
      <c r="D939" s="33">
        <v>0</v>
      </c>
      <c r="E939" s="33">
        <v>5.3999999999999999E-2</v>
      </c>
      <c r="F939" s="33">
        <f>SCE_Ds[[#This Row],[With Margins ($)]]-SCE_Ds[[#This Row],[ without Margins ( $)]]</f>
        <v>0</v>
      </c>
      <c r="G939" s="11" t="str">
        <f>IF(E938&lt;0.5,"Low", "High")</f>
        <v>High</v>
      </c>
      <c r="H939" s="9">
        <f>SCE_Ds[[#This Row],[Margins ($)]]/SCE_Ds[[#This Row],[With Margins ($)]]</f>
        <v>0</v>
      </c>
    </row>
    <row r="940" spans="1:8" x14ac:dyDescent="0.3">
      <c r="A940">
        <v>485310</v>
      </c>
      <c r="B940" t="s">
        <v>690</v>
      </c>
      <c r="C940" s="33">
        <v>0.56599999999999995</v>
      </c>
      <c r="D940" s="34">
        <v>0</v>
      </c>
      <c r="E940" s="33">
        <v>0.56599999999999995</v>
      </c>
      <c r="F940" s="33">
        <f>SCE_Ds[[#This Row],[With Margins ($)]]-SCE_Ds[[#This Row],[ without Margins ( $)]]</f>
        <v>0</v>
      </c>
      <c r="G940" s="11" t="str">
        <f>IF(E939&lt;0.5,"Low", "High")</f>
        <v>Low</v>
      </c>
      <c r="H940" s="9">
        <f>SCE_Ds[[#This Row],[Margins ($)]]/SCE_Ds[[#This Row],[With Margins ($)]]</f>
        <v>0</v>
      </c>
    </row>
    <row r="941" spans="1:8" x14ac:dyDescent="0.3">
      <c r="A941">
        <v>517911</v>
      </c>
      <c r="B941" t="s">
        <v>750</v>
      </c>
      <c r="C941" s="33">
        <v>7.8E-2</v>
      </c>
      <c r="D941" s="33">
        <v>0</v>
      </c>
      <c r="E941" s="33">
        <v>7.8E-2</v>
      </c>
      <c r="F941" s="33">
        <f>SCE_Ds[[#This Row],[With Margins ($)]]-SCE_Ds[[#This Row],[ without Margins ( $)]]</f>
        <v>0</v>
      </c>
      <c r="G941" s="11" t="str">
        <f>IF(E940&lt;0.5,"Low", "High")</f>
        <v>High</v>
      </c>
      <c r="H941" s="9">
        <f>SCE_Ds[[#This Row],[Margins ($)]]/SCE_Ds[[#This Row],[With Margins ($)]]</f>
        <v>0</v>
      </c>
    </row>
    <row r="942" spans="1:8" x14ac:dyDescent="0.3">
      <c r="A942">
        <v>561422</v>
      </c>
      <c r="B942" t="s">
        <v>893</v>
      </c>
      <c r="C942" s="33">
        <v>0.111</v>
      </c>
      <c r="D942" s="33">
        <v>0</v>
      </c>
      <c r="E942" s="33">
        <v>0.111</v>
      </c>
      <c r="F942" s="33">
        <f>SCE_Ds[[#This Row],[With Margins ($)]]-SCE_Ds[[#This Row],[ without Margins ( $)]]</f>
        <v>0</v>
      </c>
      <c r="G942" s="11" t="str">
        <f>IF(E941&lt;0.5,"Low", "High")</f>
        <v>Low</v>
      </c>
      <c r="H942" s="9">
        <f>SCE_Ds[[#This Row],[Margins ($)]]/SCE_Ds[[#This Row],[With Margins ($)]]</f>
        <v>0</v>
      </c>
    </row>
    <row r="943" spans="1:8" x14ac:dyDescent="0.3">
      <c r="A943">
        <v>561421</v>
      </c>
      <c r="B943" t="s">
        <v>892</v>
      </c>
      <c r="C943" s="33">
        <v>0.111</v>
      </c>
      <c r="D943" s="33">
        <v>0</v>
      </c>
      <c r="E943" s="33">
        <v>0.111</v>
      </c>
      <c r="F943" s="33">
        <f>SCE_Ds[[#This Row],[With Margins ($)]]-SCE_Ds[[#This Row],[ without Margins ( $)]]</f>
        <v>0</v>
      </c>
      <c r="G943" s="11" t="str">
        <f>IF(E942&lt;0.5,"Low", "High")</f>
        <v>Low</v>
      </c>
      <c r="H943" s="9">
        <f>SCE_Ds[[#This Row],[Margins ($)]]/SCE_Ds[[#This Row],[With Margins ($)]]</f>
        <v>0</v>
      </c>
    </row>
    <row r="944" spans="1:8" x14ac:dyDescent="0.3">
      <c r="A944">
        <v>334210</v>
      </c>
      <c r="B944" t="s">
        <v>426</v>
      </c>
      <c r="C944" s="33">
        <v>5.0999999999999997E-2</v>
      </c>
      <c r="D944" s="33">
        <v>4.4999999999999998E-2</v>
      </c>
      <c r="E944" s="33">
        <v>9.6000000000000002E-2</v>
      </c>
      <c r="F944" s="33">
        <f>SCE_Ds[[#This Row],[With Margins ($)]]-SCE_Ds[[#This Row],[ without Margins ( $)]]</f>
        <v>4.5000000000000005E-2</v>
      </c>
      <c r="G944" s="11" t="str">
        <f>IF(E943&lt;0.5,"Low", "High")</f>
        <v>Low</v>
      </c>
      <c r="H944" s="9">
        <f>SCE_Ds[[#This Row],[Margins ($)]]/SCE_Ds[[#This Row],[With Margins ($)]]</f>
        <v>0.46875</v>
      </c>
    </row>
    <row r="945" spans="1:8" x14ac:dyDescent="0.3">
      <c r="A945">
        <v>512191</v>
      </c>
      <c r="B945" t="s">
        <v>736</v>
      </c>
      <c r="C945" s="33">
        <v>4.7E-2</v>
      </c>
      <c r="D945" s="33">
        <v>5.0000000000000001E-3</v>
      </c>
      <c r="E945" s="33">
        <v>5.1999999999999998E-2</v>
      </c>
      <c r="F945" s="33">
        <f>SCE_Ds[[#This Row],[With Margins ($)]]-SCE_Ds[[#This Row],[ without Margins ( $)]]</f>
        <v>4.9999999999999975E-3</v>
      </c>
      <c r="G945" s="11" t="str">
        <f>IF(E944&lt;0.5,"Low", "High")</f>
        <v>Low</v>
      </c>
      <c r="H945" s="9">
        <f>SCE_Ds[[#This Row],[Margins ($)]]/SCE_Ds[[#This Row],[With Margins ($)]]</f>
        <v>9.6153846153846159E-2</v>
      </c>
    </row>
    <row r="946" spans="1:8" x14ac:dyDescent="0.3">
      <c r="A946">
        <v>515120</v>
      </c>
      <c r="B946" t="s">
        <v>744</v>
      </c>
      <c r="C946" s="33">
        <v>7.9000000000000001E-2</v>
      </c>
      <c r="D946" s="33">
        <v>0</v>
      </c>
      <c r="E946" s="33">
        <v>7.9000000000000001E-2</v>
      </c>
      <c r="F946" s="33">
        <f>SCE_Ds[[#This Row],[With Margins ($)]]-SCE_Ds[[#This Row],[ without Margins ( $)]]</f>
        <v>0</v>
      </c>
      <c r="G946" s="11" t="str">
        <f>IF(E945&lt;0.5,"Low", "High")</f>
        <v>Low</v>
      </c>
      <c r="H946" s="9">
        <f>SCE_Ds[[#This Row],[Margins ($)]]/SCE_Ds[[#This Row],[With Margins ($)]]</f>
        <v>0</v>
      </c>
    </row>
    <row r="947" spans="1:8" x14ac:dyDescent="0.3">
      <c r="A947">
        <v>561320</v>
      </c>
      <c r="B947" t="s">
        <v>889</v>
      </c>
      <c r="C947" s="33">
        <v>5.0999999999999997E-2</v>
      </c>
      <c r="D947" s="33">
        <v>0</v>
      </c>
      <c r="E947" s="33">
        <v>5.0999999999999997E-2</v>
      </c>
      <c r="F947" s="33">
        <f>SCE_Ds[[#This Row],[With Margins ($)]]-SCE_Ds[[#This Row],[ without Margins ( $)]]</f>
        <v>0</v>
      </c>
      <c r="G947" s="11" t="str">
        <f>IF(E946&lt;0.5,"Low", "High")</f>
        <v>Low</v>
      </c>
      <c r="H947" s="9">
        <f>SCE_Ds[[#This Row],[Margins ($)]]/SCE_Ds[[#This Row],[With Margins ($)]]</f>
        <v>0</v>
      </c>
    </row>
    <row r="948" spans="1:8" x14ac:dyDescent="0.3">
      <c r="A948">
        <v>624221</v>
      </c>
      <c r="B948" t="s">
        <v>985</v>
      </c>
      <c r="C948" s="33">
        <v>0.217</v>
      </c>
      <c r="D948" s="33">
        <v>0</v>
      </c>
      <c r="E948" s="33">
        <v>0.217</v>
      </c>
      <c r="F948" s="33">
        <f>SCE_Ds[[#This Row],[With Margins ($)]]-SCE_Ds[[#This Row],[ without Margins ( $)]]</f>
        <v>0</v>
      </c>
      <c r="G948" s="11" t="str">
        <f>IF(E947&lt;0.5,"Low", "High")</f>
        <v>Low</v>
      </c>
      <c r="H948" s="9">
        <f>SCE_Ds[[#This Row],[Margins ($)]]/SCE_Ds[[#This Row],[With Margins ($)]]</f>
        <v>0</v>
      </c>
    </row>
    <row r="949" spans="1:8" x14ac:dyDescent="0.3">
      <c r="A949">
        <v>541380</v>
      </c>
      <c r="B949" t="s">
        <v>845</v>
      </c>
      <c r="C949" s="33">
        <v>0.10299999999999999</v>
      </c>
      <c r="D949" s="33">
        <v>0</v>
      </c>
      <c r="E949" s="33">
        <v>0.10299999999999999</v>
      </c>
      <c r="F949" s="33">
        <f>SCE_Ds[[#This Row],[With Margins ($)]]-SCE_Ds[[#This Row],[ without Margins ( $)]]</f>
        <v>0</v>
      </c>
      <c r="G949" s="11" t="str">
        <f>IF(E948&lt;0.5,"Low", "High")</f>
        <v>Low</v>
      </c>
      <c r="H949" s="9">
        <f>SCE_Ds[[#This Row],[Margins ($)]]/SCE_Ds[[#This Row],[With Margins ($)]]</f>
        <v>0</v>
      </c>
    </row>
    <row r="950" spans="1:8" x14ac:dyDescent="0.3">
      <c r="A950">
        <v>313310</v>
      </c>
      <c r="B950" t="s">
        <v>205</v>
      </c>
      <c r="C950" s="33">
        <v>0.37</v>
      </c>
      <c r="D950" s="34">
        <v>2.5999999999999999E-2</v>
      </c>
      <c r="E950" s="33">
        <v>0.39600000000000002</v>
      </c>
      <c r="F950" s="33">
        <f>SCE_Ds[[#This Row],[With Margins ($)]]-SCE_Ds[[#This Row],[ without Margins ( $)]]</f>
        <v>2.6000000000000023E-2</v>
      </c>
      <c r="G950" s="11" t="str">
        <f>IF(E949&lt;0.5,"Low", "High")</f>
        <v>Low</v>
      </c>
      <c r="H950" s="9">
        <f>SCE_Ds[[#This Row],[Margins ($)]]/SCE_Ds[[#This Row],[With Margins ($)]]</f>
        <v>6.5656565656565649E-2</v>
      </c>
    </row>
    <row r="951" spans="1:8" x14ac:dyDescent="0.3">
      <c r="A951">
        <v>314910</v>
      </c>
      <c r="B951" t="s">
        <v>209</v>
      </c>
      <c r="C951" s="33">
        <v>0.19700000000000001</v>
      </c>
      <c r="D951" s="33">
        <v>4.5999999999999999E-2</v>
      </c>
      <c r="E951" s="33">
        <v>0.24299999999999999</v>
      </c>
      <c r="F951" s="33">
        <f>SCE_Ds[[#This Row],[With Margins ($)]]-SCE_Ds[[#This Row],[ without Margins ( $)]]</f>
        <v>4.5999999999999985E-2</v>
      </c>
      <c r="G951" s="11" t="str">
        <f>IF(E950&lt;0.5,"Low", "High")</f>
        <v>Low</v>
      </c>
      <c r="H951" s="9">
        <f>SCE_Ds[[#This Row],[Margins ($)]]/SCE_Ds[[#This Row],[With Margins ($)]]</f>
        <v>0.18930041152263374</v>
      </c>
    </row>
    <row r="952" spans="1:8" x14ac:dyDescent="0.3">
      <c r="A952">
        <v>711110</v>
      </c>
      <c r="B952" t="s">
        <v>990</v>
      </c>
      <c r="C952" s="33">
        <v>8.5999999999999993E-2</v>
      </c>
      <c r="D952" s="33">
        <v>0</v>
      </c>
      <c r="E952" s="33">
        <v>8.5999999999999993E-2</v>
      </c>
      <c r="F952" s="33">
        <f>SCE_Ds[[#This Row],[With Margins ($)]]-SCE_Ds[[#This Row],[ without Margins ( $)]]</f>
        <v>0</v>
      </c>
      <c r="G952" s="11" t="str">
        <f>IF(E951&lt;0.5,"Low", "High")</f>
        <v>Low</v>
      </c>
      <c r="H952" s="9">
        <f>SCE_Ds[[#This Row],[Margins ($)]]/SCE_Ds[[#This Row],[With Margins ($)]]</f>
        <v>0</v>
      </c>
    </row>
    <row r="953" spans="1:8" x14ac:dyDescent="0.3">
      <c r="A953">
        <v>524292</v>
      </c>
      <c r="B953" t="s">
        <v>795</v>
      </c>
      <c r="C953" s="33">
        <v>2.9000000000000001E-2</v>
      </c>
      <c r="D953" s="33">
        <v>0</v>
      </c>
      <c r="E953" s="33">
        <v>2.9000000000000001E-2</v>
      </c>
      <c r="F953" s="33">
        <f>SCE_Ds[[#This Row],[With Margins ($)]]-SCE_Ds[[#This Row],[ without Margins ( $)]]</f>
        <v>0</v>
      </c>
      <c r="G953" s="11" t="str">
        <f>IF(E952&lt;0.5,"Low", "High")</f>
        <v>Low</v>
      </c>
      <c r="H953" s="9">
        <f>SCE_Ds[[#This Row],[Margins ($)]]/SCE_Ds[[#This Row],[With Margins ($)]]</f>
        <v>0</v>
      </c>
    </row>
    <row r="954" spans="1:8" x14ac:dyDescent="0.3">
      <c r="A954">
        <v>238340</v>
      </c>
      <c r="B954" t="s">
        <v>142</v>
      </c>
      <c r="C954" s="33">
        <v>0.221</v>
      </c>
      <c r="D954" s="33">
        <v>0</v>
      </c>
      <c r="E954" s="33">
        <v>0.221</v>
      </c>
      <c r="F954" s="33">
        <f>SCE_Ds[[#This Row],[With Margins ($)]]-SCE_Ds[[#This Row],[ without Margins ( $)]]</f>
        <v>0</v>
      </c>
      <c r="G954" s="11" t="str">
        <f>IF(E953&lt;0.5,"Low", "High")</f>
        <v>Low</v>
      </c>
      <c r="H954" s="9">
        <f>SCE_Ds[[#This Row],[Margins ($)]]/SCE_Ds[[#This Row],[With Margins ($)]]</f>
        <v>0</v>
      </c>
    </row>
    <row r="955" spans="1:8" x14ac:dyDescent="0.3">
      <c r="A955">
        <v>113110</v>
      </c>
      <c r="B955" t="s">
        <v>59</v>
      </c>
      <c r="C955" s="33">
        <v>0.19900000000000001</v>
      </c>
      <c r="D955" s="34">
        <v>4.4999999999999998E-2</v>
      </c>
      <c r="E955" s="33">
        <v>0.24299999999999999</v>
      </c>
      <c r="F955" s="33">
        <f>SCE_Ds[[#This Row],[With Margins ($)]]-SCE_Ds[[#This Row],[ without Margins ( $)]]</f>
        <v>4.3999999999999984E-2</v>
      </c>
      <c r="G955" s="11" t="str">
        <f>IF(E954&lt;0.5,"Low", "High")</f>
        <v>Low</v>
      </c>
      <c r="H955" s="9">
        <f>SCE_Ds[[#This Row],[Margins ($)]]/SCE_Ds[[#This Row],[With Margins ($)]]</f>
        <v>0.18518518518518517</v>
      </c>
    </row>
    <row r="956" spans="1:8" x14ac:dyDescent="0.3">
      <c r="A956">
        <v>423130</v>
      </c>
      <c r="B956" t="s">
        <v>528</v>
      </c>
      <c r="C956" s="33">
        <v>0.115</v>
      </c>
      <c r="D956" s="33">
        <v>0</v>
      </c>
      <c r="E956" s="33">
        <v>0.115</v>
      </c>
      <c r="F956" s="33">
        <f>SCE_Ds[[#This Row],[With Margins ($)]]-SCE_Ds[[#This Row],[ without Margins ( $)]]</f>
        <v>0</v>
      </c>
      <c r="G956" s="11" t="str">
        <f>IF(E955&lt;0.5,"Low", "High")</f>
        <v>Low</v>
      </c>
      <c r="H956" s="9">
        <f>SCE_Ds[[#This Row],[Margins ($)]]/SCE_Ds[[#This Row],[With Margins ($)]]</f>
        <v>0</v>
      </c>
    </row>
    <row r="957" spans="1:8" x14ac:dyDescent="0.3">
      <c r="A957">
        <v>441320</v>
      </c>
      <c r="B957" t="s">
        <v>605</v>
      </c>
      <c r="C957" s="33">
        <v>7.2999999999999995E-2</v>
      </c>
      <c r="D957" s="33">
        <v>0</v>
      </c>
      <c r="E957" s="33">
        <v>7.2999999999999995E-2</v>
      </c>
      <c r="F957" s="33">
        <f>SCE_Ds[[#This Row],[With Margins ($)]]-SCE_Ds[[#This Row],[ without Margins ( $)]]</f>
        <v>0</v>
      </c>
      <c r="G957" s="11" t="str">
        <f>IF(E956&lt;0.5,"Low", "High")</f>
        <v>Low</v>
      </c>
      <c r="H957" s="9">
        <f>SCE_Ds[[#This Row],[Margins ($)]]/SCE_Ds[[#This Row],[With Margins ($)]]</f>
        <v>0</v>
      </c>
    </row>
    <row r="958" spans="1:8" x14ac:dyDescent="0.3">
      <c r="A958">
        <v>326211</v>
      </c>
      <c r="B958" t="s">
        <v>300</v>
      </c>
      <c r="C958" s="33">
        <v>0.23300000000000001</v>
      </c>
      <c r="D958" s="33">
        <v>4.2999999999999997E-2</v>
      </c>
      <c r="E958" s="33">
        <v>0.27600000000000002</v>
      </c>
      <c r="F958" s="33">
        <f>SCE_Ds[[#This Row],[With Margins ($)]]-SCE_Ds[[#This Row],[ without Margins ( $)]]</f>
        <v>4.300000000000001E-2</v>
      </c>
      <c r="G958" s="11" t="str">
        <f>IF(E957&lt;0.5,"Low", "High")</f>
        <v>Low</v>
      </c>
      <c r="H958" s="9">
        <f>SCE_Ds[[#This Row],[Margins ($)]]/SCE_Ds[[#This Row],[With Margins ($)]]</f>
        <v>0.15579710144927533</v>
      </c>
    </row>
    <row r="959" spans="1:8" x14ac:dyDescent="0.3">
      <c r="A959">
        <v>326212</v>
      </c>
      <c r="B959" t="s">
        <v>301</v>
      </c>
      <c r="C959" s="33">
        <v>0.23300000000000001</v>
      </c>
      <c r="D959" s="33">
        <v>4.2999999999999997E-2</v>
      </c>
      <c r="E959" s="33">
        <v>0.27600000000000002</v>
      </c>
      <c r="F959" s="33">
        <f>SCE_Ds[[#This Row],[With Margins ($)]]-SCE_Ds[[#This Row],[ without Margins ( $)]]</f>
        <v>4.300000000000001E-2</v>
      </c>
      <c r="G959" s="11" t="str">
        <f>IF(E958&lt;0.5,"Low", "High")</f>
        <v>Low</v>
      </c>
      <c r="H959" s="9">
        <f>SCE_Ds[[#This Row],[Margins ($)]]/SCE_Ds[[#This Row],[With Margins ($)]]</f>
        <v>0.15579710144927533</v>
      </c>
    </row>
    <row r="960" spans="1:8" x14ac:dyDescent="0.3">
      <c r="A960">
        <v>541191</v>
      </c>
      <c r="B960" t="s">
        <v>832</v>
      </c>
      <c r="C960" s="33">
        <v>4.1000000000000002E-2</v>
      </c>
      <c r="D960" s="33">
        <v>0</v>
      </c>
      <c r="E960" s="33">
        <v>4.1000000000000002E-2</v>
      </c>
      <c r="F960" s="33">
        <f>SCE_Ds[[#This Row],[With Margins ($)]]-SCE_Ds[[#This Row],[ without Margins ( $)]]</f>
        <v>0</v>
      </c>
      <c r="G960" s="11" t="str">
        <f>IF(E959&lt;0.5,"Low", "High")</f>
        <v>Low</v>
      </c>
      <c r="H960" s="9">
        <f>SCE_Ds[[#This Row],[Margins ($)]]/SCE_Ds[[#This Row],[With Margins ($)]]</f>
        <v>0</v>
      </c>
    </row>
    <row r="961" spans="1:8" x14ac:dyDescent="0.3">
      <c r="A961">
        <v>424940</v>
      </c>
      <c r="B961" t="s">
        <v>594</v>
      </c>
      <c r="C961" s="33">
        <v>0.14399999999999999</v>
      </c>
      <c r="D961" s="33">
        <v>0</v>
      </c>
      <c r="E961" s="33">
        <v>0.14399999999999999</v>
      </c>
      <c r="F961" s="33">
        <f>SCE_Ds[[#This Row],[With Margins ($)]]-SCE_Ds[[#This Row],[ without Margins ( $)]]</f>
        <v>0</v>
      </c>
      <c r="G961" s="11" t="str">
        <f>IF(E960&lt;0.5,"Low", "High")</f>
        <v>Low</v>
      </c>
      <c r="H961" s="9">
        <f>SCE_Ds[[#This Row],[Margins ($)]]/SCE_Ds[[#This Row],[With Margins ($)]]</f>
        <v>0</v>
      </c>
    </row>
    <row r="962" spans="1:8" x14ac:dyDescent="0.3">
      <c r="A962">
        <v>111910</v>
      </c>
      <c r="B962" t="s">
        <v>31</v>
      </c>
      <c r="C962" s="33">
        <v>0.70299999999999996</v>
      </c>
      <c r="D962" s="33">
        <v>3.6999999999999998E-2</v>
      </c>
      <c r="E962" s="33">
        <v>0.74</v>
      </c>
      <c r="F962" s="33">
        <f>SCE_Ds[[#This Row],[With Margins ($)]]-SCE_Ds[[#This Row],[ without Margins ( $)]]</f>
        <v>3.7000000000000033E-2</v>
      </c>
      <c r="G962" s="11" t="str">
        <f>IF(E961&lt;0.5,"Low", "High")</f>
        <v>Low</v>
      </c>
      <c r="H962" s="9">
        <f>SCE_Ds[[#This Row],[Margins ($)]]/SCE_Ds[[#This Row],[With Margins ($)]]</f>
        <v>4.9999999999999996E-2</v>
      </c>
    </row>
    <row r="963" spans="1:8" x14ac:dyDescent="0.3">
      <c r="A963">
        <v>312230</v>
      </c>
      <c r="B963" t="s">
        <v>199</v>
      </c>
      <c r="C963" s="33">
        <v>5.5E-2</v>
      </c>
      <c r="D963" s="33">
        <v>4.5999999999999999E-2</v>
      </c>
      <c r="E963" s="33">
        <v>0.10100000000000001</v>
      </c>
      <c r="F963" s="33">
        <f>SCE_Ds[[#This Row],[With Margins ($)]]-SCE_Ds[[#This Row],[ without Margins ( $)]]</f>
        <v>4.6000000000000006E-2</v>
      </c>
      <c r="G963" s="11" t="str">
        <f>IF(E962&lt;0.5,"Low", "High")</f>
        <v>High</v>
      </c>
      <c r="H963" s="9">
        <f>SCE_Ds[[#This Row],[Margins ($)]]/SCE_Ds[[#This Row],[With Margins ($)]]</f>
        <v>0.45544554455445541</v>
      </c>
    </row>
    <row r="964" spans="1:8" x14ac:dyDescent="0.3">
      <c r="A964">
        <v>453991</v>
      </c>
      <c r="B964" t="s">
        <v>660</v>
      </c>
      <c r="C964" s="33">
        <v>0.111</v>
      </c>
      <c r="D964" s="33">
        <v>0</v>
      </c>
      <c r="E964" s="33">
        <v>0.111</v>
      </c>
      <c r="F964" s="33">
        <f>SCE_Ds[[#This Row],[With Margins ($)]]-SCE_Ds[[#This Row],[ without Margins ( $)]]</f>
        <v>0</v>
      </c>
      <c r="G964" s="11" t="str">
        <f>IF(E963&lt;0.5,"Low", "High")</f>
        <v>Low</v>
      </c>
      <c r="H964" s="9">
        <f>SCE_Ds[[#This Row],[Margins ($)]]/SCE_Ds[[#This Row],[With Margins ($)]]</f>
        <v>0</v>
      </c>
    </row>
    <row r="965" spans="1:8" x14ac:dyDescent="0.3">
      <c r="A965">
        <v>325620</v>
      </c>
      <c r="B965" t="s">
        <v>282</v>
      </c>
      <c r="C965" s="33">
        <v>0.13600000000000001</v>
      </c>
      <c r="D965" s="33">
        <v>5.8000000000000003E-2</v>
      </c>
      <c r="E965" s="33">
        <v>0.19400000000000001</v>
      </c>
      <c r="F965" s="33">
        <f>SCE_Ds[[#This Row],[With Margins ($)]]-SCE_Ds[[#This Row],[ without Margins ( $)]]</f>
        <v>5.7999999999999996E-2</v>
      </c>
      <c r="G965" s="11" t="str">
        <f>IF(E964&lt;0.5,"Low", "High")</f>
        <v>Low</v>
      </c>
      <c r="H965" s="9">
        <f>SCE_Ds[[#This Row],[Margins ($)]]/SCE_Ds[[#This Row],[With Margins ($)]]</f>
        <v>0.29896907216494845</v>
      </c>
    </row>
    <row r="966" spans="1:8" x14ac:dyDescent="0.3">
      <c r="A966">
        <v>311830</v>
      </c>
      <c r="B966" t="s">
        <v>184</v>
      </c>
      <c r="C966" s="33">
        <v>0.31</v>
      </c>
      <c r="D966" s="33">
        <v>4.7E-2</v>
      </c>
      <c r="E966" s="33">
        <v>0.35599999999999998</v>
      </c>
      <c r="F966" s="33">
        <f>SCE_Ds[[#This Row],[With Margins ($)]]-SCE_Ds[[#This Row],[ without Margins ( $)]]</f>
        <v>4.5999999999999985E-2</v>
      </c>
      <c r="G966" s="11" t="str">
        <f>IF(E965&lt;0.5,"Low", "High")</f>
        <v>Low</v>
      </c>
      <c r="H966" s="9">
        <f>SCE_Ds[[#This Row],[Margins ($)]]/SCE_Ds[[#This Row],[With Margins ($)]]</f>
        <v>0.13202247191011238</v>
      </c>
    </row>
    <row r="967" spans="1:8" x14ac:dyDescent="0.3">
      <c r="A967">
        <v>334514</v>
      </c>
      <c r="B967" t="s">
        <v>441</v>
      </c>
      <c r="C967" s="33">
        <v>6.3E-2</v>
      </c>
      <c r="D967" s="33">
        <v>2.1000000000000001E-2</v>
      </c>
      <c r="E967" s="33">
        <v>8.4000000000000005E-2</v>
      </c>
      <c r="F967" s="33">
        <f>SCE_Ds[[#This Row],[With Margins ($)]]-SCE_Ds[[#This Row],[ without Margins ( $)]]</f>
        <v>2.1000000000000005E-2</v>
      </c>
      <c r="G967" s="11" t="str">
        <f>IF(E966&lt;0.5,"Low", "High")</f>
        <v>Low</v>
      </c>
      <c r="H967" s="9">
        <f>SCE_Ds[[#This Row],[Margins ($)]]/SCE_Ds[[#This Row],[With Margins ($)]]</f>
        <v>0.25</v>
      </c>
    </row>
    <row r="968" spans="1:8" x14ac:dyDescent="0.3">
      <c r="A968">
        <v>561520</v>
      </c>
      <c r="B968" t="s">
        <v>902</v>
      </c>
      <c r="C968" s="33">
        <v>8.7999999999999995E-2</v>
      </c>
      <c r="D968" s="33">
        <v>0</v>
      </c>
      <c r="E968" s="33">
        <v>8.7999999999999995E-2</v>
      </c>
      <c r="F968" s="33">
        <f>SCE_Ds[[#This Row],[With Margins ($)]]-SCE_Ds[[#This Row],[ without Margins ( $)]]</f>
        <v>0</v>
      </c>
      <c r="G968" s="11" t="str">
        <f>IF(E967&lt;0.5,"Low", "High")</f>
        <v>Low</v>
      </c>
      <c r="H968" s="9">
        <f>SCE_Ds[[#This Row],[Margins ($)]]/SCE_Ds[[#This Row],[With Margins ($)]]</f>
        <v>0</v>
      </c>
    </row>
    <row r="969" spans="1:8" x14ac:dyDescent="0.3">
      <c r="A969">
        <v>423920</v>
      </c>
      <c r="B969" t="s">
        <v>560</v>
      </c>
      <c r="C969" s="33">
        <v>0.108</v>
      </c>
      <c r="D969" s="33">
        <v>0</v>
      </c>
      <c r="E969" s="33">
        <v>0.108</v>
      </c>
      <c r="F969" s="33">
        <f>SCE_Ds[[#This Row],[With Margins ($)]]-SCE_Ds[[#This Row],[ without Margins ( $)]]</f>
        <v>0</v>
      </c>
      <c r="G969" s="11" t="str">
        <f>IF(E968&lt;0.5,"Low", "High")</f>
        <v>Low</v>
      </c>
      <c r="H969" s="9">
        <f>SCE_Ds[[#This Row],[Margins ($)]]/SCE_Ds[[#This Row],[With Margins ($)]]</f>
        <v>0</v>
      </c>
    </row>
    <row r="970" spans="1:8" x14ac:dyDescent="0.3">
      <c r="A970">
        <v>541930</v>
      </c>
      <c r="B970" t="s">
        <v>879</v>
      </c>
      <c r="C970" s="33">
        <v>0.08</v>
      </c>
      <c r="D970" s="33">
        <v>0</v>
      </c>
      <c r="E970" s="33">
        <v>0.08</v>
      </c>
      <c r="F970" s="33">
        <f>SCE_Ds[[#This Row],[With Margins ($)]]-SCE_Ds[[#This Row],[ without Margins ( $)]]</f>
        <v>0</v>
      </c>
      <c r="G970" s="11" t="str">
        <f>IF(E969&lt;0.5,"Low", "High")</f>
        <v>Low</v>
      </c>
      <c r="H970" s="9">
        <f>SCE_Ds[[#This Row],[Margins ($)]]/SCE_Ds[[#This Row],[With Margins ($)]]</f>
        <v>0</v>
      </c>
    </row>
    <row r="971" spans="1:8" x14ac:dyDescent="0.3">
      <c r="A971">
        <v>423860</v>
      </c>
      <c r="B971" t="s">
        <v>558</v>
      </c>
      <c r="C971" s="33">
        <v>0.115</v>
      </c>
      <c r="D971" s="33">
        <v>0</v>
      </c>
      <c r="E971" s="33">
        <v>0.115</v>
      </c>
      <c r="F971" s="33">
        <f>SCE_Ds[[#This Row],[With Margins ($)]]-SCE_Ds[[#This Row],[ without Margins ( $)]]</f>
        <v>0</v>
      </c>
      <c r="G971" s="11" t="str">
        <f>IF(E970&lt;0.5,"Low", "High")</f>
        <v>Low</v>
      </c>
      <c r="H971" s="9">
        <f>SCE_Ds[[#This Row],[Margins ($)]]/SCE_Ds[[#This Row],[With Margins ($)]]</f>
        <v>0</v>
      </c>
    </row>
    <row r="972" spans="1:8" x14ac:dyDescent="0.3">
      <c r="A972">
        <v>561510</v>
      </c>
      <c r="B972" t="s">
        <v>901</v>
      </c>
      <c r="C972" s="33">
        <v>8.7999999999999995E-2</v>
      </c>
      <c r="D972" s="33">
        <v>0</v>
      </c>
      <c r="E972" s="33">
        <v>8.7999999999999995E-2</v>
      </c>
      <c r="F972" s="33">
        <f>SCE_Ds[[#This Row],[With Margins ($)]]-SCE_Ds[[#This Row],[ without Margins ( $)]]</f>
        <v>0</v>
      </c>
      <c r="G972" s="11" t="str">
        <f>IF(E971&lt;0.5,"Low", "High")</f>
        <v>Low</v>
      </c>
      <c r="H972" s="9">
        <f>SCE_Ds[[#This Row],[Margins ($)]]/SCE_Ds[[#This Row],[With Margins ($)]]</f>
        <v>0</v>
      </c>
    </row>
    <row r="973" spans="1:8" x14ac:dyDescent="0.3">
      <c r="A973">
        <v>336214</v>
      </c>
      <c r="B973" t="s">
        <v>473</v>
      </c>
      <c r="C973" s="33">
        <v>0.128</v>
      </c>
      <c r="D973" s="33">
        <v>3.3000000000000002E-2</v>
      </c>
      <c r="E973" s="33">
        <v>0.16</v>
      </c>
      <c r="F973" s="33">
        <f>SCE_Ds[[#This Row],[With Margins ($)]]-SCE_Ds[[#This Row],[ without Margins ( $)]]</f>
        <v>3.2000000000000001E-2</v>
      </c>
      <c r="G973" s="11" t="str">
        <f>IF(E972&lt;0.5,"Low", "High")</f>
        <v>Low</v>
      </c>
      <c r="H973" s="9">
        <f>SCE_Ds[[#This Row],[Margins ($)]]/SCE_Ds[[#This Row],[With Margins ($)]]</f>
        <v>0.20625000000000002</v>
      </c>
    </row>
    <row r="974" spans="1:8" x14ac:dyDescent="0.3">
      <c r="A974">
        <v>111335</v>
      </c>
      <c r="B974" t="s">
        <v>24</v>
      </c>
      <c r="C974" s="33">
        <v>0.42899999999999999</v>
      </c>
      <c r="D974" s="33">
        <v>5.8999999999999997E-2</v>
      </c>
      <c r="E974" s="33">
        <v>0.48799999999999999</v>
      </c>
      <c r="F974" s="33">
        <f>SCE_Ds[[#This Row],[With Margins ($)]]-SCE_Ds[[#This Row],[ without Margins ( $)]]</f>
        <v>5.8999999999999997E-2</v>
      </c>
      <c r="G974" s="11" t="str">
        <f>IF(E973&lt;0.5,"Low", "High")</f>
        <v>Low</v>
      </c>
      <c r="H974" s="9">
        <f>SCE_Ds[[#This Row],[Margins ($)]]/SCE_Ds[[#This Row],[With Margins ($)]]</f>
        <v>0.12090163934426229</v>
      </c>
    </row>
    <row r="975" spans="1:8" x14ac:dyDescent="0.3">
      <c r="A975">
        <v>336212</v>
      </c>
      <c r="B975" t="s">
        <v>471</v>
      </c>
      <c r="C975" s="33">
        <v>0.185</v>
      </c>
      <c r="D975" s="33">
        <v>1.4999999999999999E-2</v>
      </c>
      <c r="E975" s="33">
        <v>0.2</v>
      </c>
      <c r="F975" s="33">
        <f>SCE_Ds[[#This Row],[With Margins ($)]]-SCE_Ds[[#This Row],[ without Margins ( $)]]</f>
        <v>1.5000000000000013E-2</v>
      </c>
      <c r="G975" s="11" t="str">
        <f>IF(E974&lt;0.5,"Low", "High")</f>
        <v>Low</v>
      </c>
      <c r="H975" s="9">
        <f>SCE_Ds[[#This Row],[Margins ($)]]/SCE_Ds[[#This Row],[With Margins ($)]]</f>
        <v>7.4999999999999997E-2</v>
      </c>
    </row>
    <row r="976" spans="1:8" x14ac:dyDescent="0.3">
      <c r="A976">
        <v>532120</v>
      </c>
      <c r="B976" t="s">
        <v>816</v>
      </c>
      <c r="C976" s="33">
        <v>0.11</v>
      </c>
      <c r="D976" s="33">
        <v>0</v>
      </c>
      <c r="E976" s="33">
        <v>0.11</v>
      </c>
      <c r="F976" s="33">
        <f>SCE_Ds[[#This Row],[With Margins ($)]]-SCE_Ds[[#This Row],[ without Margins ( $)]]</f>
        <v>0</v>
      </c>
      <c r="G976" s="11" t="str">
        <f>IF(E975&lt;0.5,"Low", "High")</f>
        <v>Low</v>
      </c>
      <c r="H976" s="9">
        <f>SCE_Ds[[#This Row],[Margins ($)]]/SCE_Ds[[#This Row],[With Margins ($)]]</f>
        <v>0</v>
      </c>
    </row>
    <row r="977" spans="1:8" x14ac:dyDescent="0.3">
      <c r="A977">
        <v>321214</v>
      </c>
      <c r="B977" t="s">
        <v>228</v>
      </c>
      <c r="C977" s="33">
        <v>0.187</v>
      </c>
      <c r="D977" s="33">
        <v>2.1000000000000001E-2</v>
      </c>
      <c r="E977" s="33">
        <v>0.20799999999999999</v>
      </c>
      <c r="F977" s="33">
        <f>SCE_Ds[[#This Row],[With Margins ($)]]-SCE_Ds[[#This Row],[ without Margins ( $)]]</f>
        <v>2.0999999999999991E-2</v>
      </c>
      <c r="G977" s="11" t="str">
        <f>IF(E976&lt;0.5,"Low", "High")</f>
        <v>Low</v>
      </c>
      <c r="H977" s="9">
        <f>SCE_Ds[[#This Row],[Margins ($)]]/SCE_Ds[[#This Row],[With Margins ($)]]</f>
        <v>0.10096153846153848</v>
      </c>
    </row>
    <row r="978" spans="1:8" x14ac:dyDescent="0.3">
      <c r="A978">
        <v>523991</v>
      </c>
      <c r="B978" t="s">
        <v>784</v>
      </c>
      <c r="C978" s="33">
        <v>6.6000000000000003E-2</v>
      </c>
      <c r="D978" s="33">
        <v>0</v>
      </c>
      <c r="E978" s="33">
        <v>6.6000000000000003E-2</v>
      </c>
      <c r="F978" s="33">
        <f>SCE_Ds[[#This Row],[With Margins ($)]]-SCE_Ds[[#This Row],[ without Margins ( $)]]</f>
        <v>0</v>
      </c>
      <c r="G978" s="11" t="str">
        <f>IF(E977&lt;0.5,"Low", "High")</f>
        <v>Low</v>
      </c>
      <c r="H978" s="9">
        <f>SCE_Ds[[#This Row],[Margins ($)]]/SCE_Ds[[#This Row],[With Margins ($)]]</f>
        <v>0</v>
      </c>
    </row>
    <row r="979" spans="1:8" x14ac:dyDescent="0.3">
      <c r="A979">
        <v>525920</v>
      </c>
      <c r="B979" t="s">
        <v>801</v>
      </c>
      <c r="C979" s="33">
        <v>0.218</v>
      </c>
      <c r="D979" s="33">
        <v>0</v>
      </c>
      <c r="E979" s="33">
        <v>0.218</v>
      </c>
      <c r="F979" s="33">
        <f>SCE_Ds[[#This Row],[With Margins ($)]]-SCE_Ds[[#This Row],[ without Margins ( $)]]</f>
        <v>0</v>
      </c>
      <c r="G979" s="11" t="str">
        <f>IF(E978&lt;0.5,"Low", "High")</f>
        <v>Low</v>
      </c>
      <c r="H979" s="9">
        <f>SCE_Ds[[#This Row],[Margins ($)]]/SCE_Ds[[#This Row],[With Margins ($)]]</f>
        <v>0</v>
      </c>
    </row>
    <row r="980" spans="1:8" x14ac:dyDescent="0.3">
      <c r="A980">
        <v>333611</v>
      </c>
      <c r="B980" t="s">
        <v>403</v>
      </c>
      <c r="C980" s="33">
        <v>0.17799999999999999</v>
      </c>
      <c r="D980" s="33">
        <v>2.4E-2</v>
      </c>
      <c r="E980" s="33">
        <v>0.20100000000000001</v>
      </c>
      <c r="F980" s="33">
        <f>SCE_Ds[[#This Row],[With Margins ($)]]-SCE_Ds[[#This Row],[ without Margins ( $)]]</f>
        <v>2.300000000000002E-2</v>
      </c>
      <c r="G980" s="11" t="str">
        <f>IF(E979&lt;0.5,"Low", "High")</f>
        <v>Low</v>
      </c>
      <c r="H980" s="9">
        <f>SCE_Ds[[#This Row],[Margins ($)]]/SCE_Ds[[#This Row],[With Margins ($)]]</f>
        <v>0.11940298507462686</v>
      </c>
    </row>
    <row r="981" spans="1:8" x14ac:dyDescent="0.3">
      <c r="A981">
        <v>112330</v>
      </c>
      <c r="B981" t="s">
        <v>47</v>
      </c>
      <c r="C981" s="33">
        <v>0.40699999999999997</v>
      </c>
      <c r="D981" s="33">
        <v>3.1E-2</v>
      </c>
      <c r="E981" s="33">
        <v>0.438</v>
      </c>
      <c r="F981" s="33">
        <f>SCE_Ds[[#This Row],[With Margins ($)]]-SCE_Ds[[#This Row],[ without Margins ( $)]]</f>
        <v>3.1000000000000028E-2</v>
      </c>
      <c r="G981" s="11" t="str">
        <f>IF(E980&lt;0.5,"Low", "High")</f>
        <v>Low</v>
      </c>
      <c r="H981" s="9">
        <f>SCE_Ds[[#This Row],[Margins ($)]]/SCE_Ds[[#This Row],[With Margins ($)]]</f>
        <v>7.0776255707762553E-2</v>
      </c>
    </row>
    <row r="982" spans="1:8" x14ac:dyDescent="0.3">
      <c r="A982">
        <v>326113</v>
      </c>
      <c r="B982" t="s">
        <v>291</v>
      </c>
      <c r="C982" s="33">
        <v>0.52100000000000002</v>
      </c>
      <c r="D982" s="34">
        <v>2.3E-2</v>
      </c>
      <c r="E982" s="33">
        <v>0.54400000000000004</v>
      </c>
      <c r="F982" s="33">
        <f>SCE_Ds[[#This Row],[With Margins ($)]]-SCE_Ds[[#This Row],[ without Margins ( $)]]</f>
        <v>2.300000000000002E-2</v>
      </c>
      <c r="G982" s="11" t="str">
        <f>IF(E981&lt;0.5,"Low", "High")</f>
        <v>Low</v>
      </c>
      <c r="H982" s="9">
        <f>SCE_Ds[[#This Row],[Margins ($)]]/SCE_Ds[[#This Row],[With Margins ($)]]</f>
        <v>4.2279411764705878E-2</v>
      </c>
    </row>
    <row r="983" spans="1:8" x14ac:dyDescent="0.3">
      <c r="A983">
        <v>326121</v>
      </c>
      <c r="B983" t="s">
        <v>292</v>
      </c>
      <c r="C983" s="33">
        <v>0.33200000000000002</v>
      </c>
      <c r="D983" s="34">
        <v>1.9E-2</v>
      </c>
      <c r="E983" s="33">
        <v>0.35099999999999998</v>
      </c>
      <c r="F983" s="33">
        <f>SCE_Ds[[#This Row],[With Margins ($)]]-SCE_Ds[[#This Row],[ without Margins ( $)]]</f>
        <v>1.8999999999999961E-2</v>
      </c>
      <c r="G983" s="11" t="str">
        <f>IF(E982&lt;0.5,"Low", "High")</f>
        <v>High</v>
      </c>
      <c r="H983" s="9">
        <f>SCE_Ds[[#This Row],[Margins ($)]]/SCE_Ds[[#This Row],[With Margins ($)]]</f>
        <v>5.4131054131054131E-2</v>
      </c>
    </row>
    <row r="984" spans="1:8" x14ac:dyDescent="0.3">
      <c r="A984">
        <v>337121</v>
      </c>
      <c r="B984" t="s">
        <v>497</v>
      </c>
      <c r="C984" s="33">
        <v>0.13300000000000001</v>
      </c>
      <c r="D984" s="33">
        <v>5.5E-2</v>
      </c>
      <c r="E984" s="33">
        <v>0.188</v>
      </c>
      <c r="F984" s="33">
        <f>SCE_Ds[[#This Row],[With Margins ($)]]-SCE_Ds[[#This Row],[ without Margins ( $)]]</f>
        <v>5.4999999999999993E-2</v>
      </c>
      <c r="G984" s="11" t="str">
        <f>IF(E983&lt;0.5,"Low", "High")</f>
        <v>Low</v>
      </c>
      <c r="H984" s="9">
        <f>SCE_Ds[[#This Row],[Margins ($)]]/SCE_Ds[[#This Row],[With Margins ($)]]</f>
        <v>0.29255319148936171</v>
      </c>
    </row>
    <row r="985" spans="1:8" x14ac:dyDescent="0.3">
      <c r="A985">
        <v>212291</v>
      </c>
      <c r="B985" t="s">
        <v>84</v>
      </c>
      <c r="C985" s="33">
        <v>0.54</v>
      </c>
      <c r="D985" s="33">
        <v>5.3999999999999999E-2</v>
      </c>
      <c r="E985" s="33">
        <v>0.59299999999999997</v>
      </c>
      <c r="F985" s="33">
        <f>SCE_Ds[[#This Row],[With Margins ($)]]-SCE_Ds[[#This Row],[ without Margins ( $)]]</f>
        <v>5.2999999999999936E-2</v>
      </c>
      <c r="G985" s="11" t="str">
        <f>IF(E984&lt;0.5,"Low", "High")</f>
        <v>Low</v>
      </c>
      <c r="H985" s="9">
        <f>SCE_Ds[[#This Row],[Margins ($)]]/SCE_Ds[[#This Row],[With Margins ($)]]</f>
        <v>9.1062394603709948E-2</v>
      </c>
    </row>
    <row r="986" spans="1:8" x14ac:dyDescent="0.3">
      <c r="A986">
        <v>326150</v>
      </c>
      <c r="B986" t="s">
        <v>296</v>
      </c>
      <c r="C986" s="33">
        <v>0.318</v>
      </c>
      <c r="D986" s="33">
        <v>4.2000000000000003E-2</v>
      </c>
      <c r="E986" s="33">
        <v>0.36</v>
      </c>
      <c r="F986" s="33">
        <f>SCE_Ds[[#This Row],[With Margins ($)]]-SCE_Ds[[#This Row],[ without Margins ( $)]]</f>
        <v>4.1999999999999982E-2</v>
      </c>
      <c r="G986" s="11" t="str">
        <f>IF(E985&lt;0.5,"Low", "High")</f>
        <v>High</v>
      </c>
      <c r="H986" s="9">
        <f>SCE_Ds[[#This Row],[Margins ($)]]/SCE_Ds[[#This Row],[With Margins ($)]]</f>
        <v>0.11666666666666668</v>
      </c>
    </row>
    <row r="987" spans="1:8" x14ac:dyDescent="0.3">
      <c r="A987">
        <v>441120</v>
      </c>
      <c r="B987" t="s">
        <v>600</v>
      </c>
      <c r="C987" s="33">
        <v>7.2999999999999995E-2</v>
      </c>
      <c r="D987" s="33">
        <v>0</v>
      </c>
      <c r="E987" s="33">
        <v>7.2999999999999995E-2</v>
      </c>
      <c r="F987" s="33">
        <f>SCE_Ds[[#This Row],[With Margins ($)]]-SCE_Ds[[#This Row],[ without Margins ( $)]]</f>
        <v>0</v>
      </c>
      <c r="G987" s="11" t="str">
        <f>IF(E986&lt;0.5,"Low", "High")</f>
        <v>Low</v>
      </c>
      <c r="H987" s="9">
        <f>SCE_Ds[[#This Row],[Margins ($)]]/SCE_Ds[[#This Row],[With Margins ($)]]</f>
        <v>0</v>
      </c>
    </row>
    <row r="988" spans="1:8" x14ac:dyDescent="0.3">
      <c r="A988">
        <v>484210</v>
      </c>
      <c r="B988" t="s">
        <v>682</v>
      </c>
      <c r="C988" s="33">
        <v>0.59499999999999997</v>
      </c>
      <c r="D988" s="34">
        <v>0</v>
      </c>
      <c r="E988" s="33">
        <v>0.59499999999999997</v>
      </c>
      <c r="F988" s="33">
        <f>SCE_Ds[[#This Row],[With Margins ($)]]-SCE_Ds[[#This Row],[ without Margins ( $)]]</f>
        <v>0</v>
      </c>
      <c r="G988" s="11" t="str">
        <f>IF(E987&lt;0.5,"Low", "High")</f>
        <v>Low</v>
      </c>
      <c r="H988" s="9">
        <f>SCE_Ds[[#This Row],[Margins ($)]]/SCE_Ds[[#This Row],[With Margins ($)]]</f>
        <v>0</v>
      </c>
    </row>
    <row r="989" spans="1:8" x14ac:dyDescent="0.3">
      <c r="A989">
        <v>453310</v>
      </c>
      <c r="B989" t="s">
        <v>656</v>
      </c>
      <c r="C989" s="33">
        <v>0.111</v>
      </c>
      <c r="D989" s="33">
        <v>0</v>
      </c>
      <c r="E989" s="33">
        <v>0.111</v>
      </c>
      <c r="F989" s="33">
        <f>SCE_Ds[[#This Row],[With Margins ($)]]-SCE_Ds[[#This Row],[ without Margins ( $)]]</f>
        <v>0</v>
      </c>
      <c r="G989" s="11" t="str">
        <f>IF(E988&lt;0.5,"Low", "High")</f>
        <v>High</v>
      </c>
      <c r="H989" s="9">
        <f>SCE_Ds[[#This Row],[Margins ($)]]/SCE_Ds[[#This Row],[With Margins ($)]]</f>
        <v>0</v>
      </c>
    </row>
    <row r="990" spans="1:8" x14ac:dyDescent="0.3">
      <c r="A990">
        <v>454210</v>
      </c>
      <c r="B990" t="s">
        <v>663</v>
      </c>
      <c r="C990" s="33">
        <v>9.4E-2</v>
      </c>
      <c r="D990" s="33">
        <v>0</v>
      </c>
      <c r="E990" s="33">
        <v>9.4E-2</v>
      </c>
      <c r="F990" s="33">
        <f>SCE_Ds[[#This Row],[With Margins ($)]]-SCE_Ds[[#This Row],[ without Margins ( $)]]</f>
        <v>0</v>
      </c>
      <c r="G990" s="11" t="str">
        <f>IF(E989&lt;0.5,"Low", "High")</f>
        <v>Low</v>
      </c>
      <c r="H990" s="9">
        <f>SCE_Ds[[#This Row],[Margins ($)]]/SCE_Ds[[#This Row],[With Margins ($)]]</f>
        <v>0</v>
      </c>
    </row>
    <row r="991" spans="1:8" x14ac:dyDescent="0.3">
      <c r="A991">
        <v>541940</v>
      </c>
      <c r="B991" t="s">
        <v>880</v>
      </c>
      <c r="C991" s="33">
        <v>0.127</v>
      </c>
      <c r="D991" s="33">
        <v>0</v>
      </c>
      <c r="E991" s="33">
        <v>0.127</v>
      </c>
      <c r="F991" s="33">
        <f>SCE_Ds[[#This Row],[With Margins ($)]]-SCE_Ds[[#This Row],[ without Margins ( $)]]</f>
        <v>0</v>
      </c>
      <c r="G991" s="11" t="str">
        <f>IF(E990&lt;0.5,"Low", "High")</f>
        <v>Low</v>
      </c>
      <c r="H991" s="9">
        <f>SCE_Ds[[#This Row],[Margins ($)]]/SCE_Ds[[#This Row],[With Margins ($)]]</f>
        <v>0</v>
      </c>
    </row>
    <row r="992" spans="1:8" x14ac:dyDescent="0.3">
      <c r="A992">
        <v>532282</v>
      </c>
      <c r="B992" t="s">
        <v>820</v>
      </c>
      <c r="C992" s="33">
        <v>0.10199999999999999</v>
      </c>
      <c r="D992" s="33">
        <v>0</v>
      </c>
      <c r="E992" s="33">
        <v>0.10199999999999999</v>
      </c>
      <c r="F992" s="33">
        <f>SCE_Ds[[#This Row],[With Margins ($)]]-SCE_Ds[[#This Row],[ without Margins ( $)]]</f>
        <v>0</v>
      </c>
      <c r="G992" s="11" t="str">
        <f>IF(E991&lt;0.5,"Low", "High")</f>
        <v>Low</v>
      </c>
      <c r="H992" s="9">
        <f>SCE_Ds[[#This Row],[Margins ($)]]/SCE_Ds[[#This Row],[With Margins ($)]]</f>
        <v>0</v>
      </c>
    </row>
    <row r="993" spans="1:8" x14ac:dyDescent="0.3">
      <c r="A993">
        <v>624310</v>
      </c>
      <c r="B993" t="s">
        <v>988</v>
      </c>
      <c r="C993" s="33">
        <v>0.217</v>
      </c>
      <c r="D993" s="33">
        <v>0</v>
      </c>
      <c r="E993" s="33">
        <v>0.217</v>
      </c>
      <c r="F993" s="33">
        <f>SCE_Ds[[#This Row],[With Margins ($)]]-SCE_Ds[[#This Row],[ without Margins ( $)]]</f>
        <v>0</v>
      </c>
      <c r="G993" s="11" t="str">
        <f>IF(E992&lt;0.5,"Low", "High")</f>
        <v>Low</v>
      </c>
      <c r="H993" s="9">
        <f>SCE_Ds[[#This Row],[Margins ($)]]/SCE_Ds[[#This Row],[With Margins ($)]]</f>
        <v>0</v>
      </c>
    </row>
    <row r="994" spans="1:8" x14ac:dyDescent="0.3">
      <c r="A994">
        <v>813212</v>
      </c>
      <c r="B994" t="s">
        <v>1070</v>
      </c>
      <c r="C994" s="33">
        <v>5.8999999999999997E-2</v>
      </c>
      <c r="D994" s="33">
        <v>0</v>
      </c>
      <c r="E994" s="33">
        <v>5.8999999999999997E-2</v>
      </c>
      <c r="F994" s="33">
        <f>SCE_Ds[[#This Row],[With Margins ($)]]-SCE_Ds[[#This Row],[ without Margins ( $)]]</f>
        <v>0</v>
      </c>
      <c r="G994" s="11" t="str">
        <f>IF(E993&lt;0.5,"Low", "High")</f>
        <v>Low</v>
      </c>
      <c r="H994" s="9">
        <f>SCE_Ds[[#This Row],[Margins ($)]]/SCE_Ds[[#This Row],[With Margins ($)]]</f>
        <v>0</v>
      </c>
    </row>
    <row r="995" spans="1:8" x14ac:dyDescent="0.3">
      <c r="A995">
        <v>452311</v>
      </c>
      <c r="B995" t="s">
        <v>651</v>
      </c>
      <c r="C995" s="33">
        <v>0.16400000000000001</v>
      </c>
      <c r="D995" s="33">
        <v>0</v>
      </c>
      <c r="E995" s="33">
        <v>0.16400000000000001</v>
      </c>
      <c r="F995" s="33">
        <f>SCE_Ds[[#This Row],[With Margins ($)]]-SCE_Ds[[#This Row],[ without Margins ( $)]]</f>
        <v>0</v>
      </c>
      <c r="G995" s="11" t="str">
        <f>IF(E994&lt;0.5,"Low", "High")</f>
        <v>Low</v>
      </c>
      <c r="H995" s="9">
        <f>SCE_Ds[[#This Row],[Margins ($)]]/SCE_Ds[[#This Row],[With Margins ($)]]</f>
        <v>0</v>
      </c>
    </row>
    <row r="996" spans="1:8" x14ac:dyDescent="0.3">
      <c r="A996">
        <v>423730</v>
      </c>
      <c r="B996" t="s">
        <v>551</v>
      </c>
      <c r="C996" s="33">
        <v>0.108</v>
      </c>
      <c r="D996" s="33">
        <v>0</v>
      </c>
      <c r="E996" s="33">
        <v>0.108</v>
      </c>
      <c r="F996" s="33">
        <f>SCE_Ds[[#This Row],[With Margins ($)]]-SCE_Ds[[#This Row],[ without Margins ( $)]]</f>
        <v>0</v>
      </c>
      <c r="G996" s="11" t="str">
        <f>IF(E995&lt;0.5,"Low", "High")</f>
        <v>Low</v>
      </c>
      <c r="H996" s="9">
        <f>SCE_Ds[[#This Row],[Margins ($)]]/SCE_Ds[[#This Row],[With Margins ($)]]</f>
        <v>0</v>
      </c>
    </row>
    <row r="997" spans="1:8" x14ac:dyDescent="0.3">
      <c r="A997">
        <v>237110</v>
      </c>
      <c r="B997" t="s">
        <v>118</v>
      </c>
      <c r="C997" s="33">
        <v>0.27700000000000002</v>
      </c>
      <c r="D997" s="33">
        <v>0</v>
      </c>
      <c r="E997" s="33">
        <v>0.27700000000000002</v>
      </c>
      <c r="F997" s="33">
        <f>SCE_Ds[[#This Row],[With Margins ($)]]-SCE_Ds[[#This Row],[ without Margins ( $)]]</f>
        <v>0</v>
      </c>
      <c r="G997" s="11" t="str">
        <f>IF(E996&lt;0.5,"Low", "High")</f>
        <v>Low</v>
      </c>
      <c r="H997" s="9">
        <f>SCE_Ds[[#This Row],[Margins ($)]]/SCE_Ds[[#This Row],[With Margins ($)]]</f>
        <v>0</v>
      </c>
    </row>
    <row r="998" spans="1:8" x14ac:dyDescent="0.3">
      <c r="A998">
        <v>221310</v>
      </c>
      <c r="B998" t="s">
        <v>106</v>
      </c>
      <c r="C998" s="33">
        <v>0.57799999999999996</v>
      </c>
      <c r="D998" s="34">
        <v>0</v>
      </c>
      <c r="E998" s="33">
        <v>0.57799999999999996</v>
      </c>
      <c r="F998" s="33">
        <f>SCE_Ds[[#This Row],[With Margins ($)]]-SCE_Ds[[#This Row],[ without Margins ( $)]]</f>
        <v>0</v>
      </c>
      <c r="G998" s="11" t="str">
        <f>IF(E997&lt;0.5,"Low", "High")</f>
        <v>Low</v>
      </c>
      <c r="H998" s="9">
        <f>SCE_Ds[[#This Row],[Margins ($)]]/SCE_Ds[[#This Row],[With Margins ($)]]</f>
        <v>0</v>
      </c>
    </row>
    <row r="999" spans="1:8" x14ac:dyDescent="0.3">
      <c r="A999">
        <v>333992</v>
      </c>
      <c r="B999" t="s">
        <v>414</v>
      </c>
      <c r="C999" s="33">
        <v>0.22800000000000001</v>
      </c>
      <c r="D999" s="33">
        <v>2.1000000000000001E-2</v>
      </c>
      <c r="E999" s="33">
        <v>0.249</v>
      </c>
      <c r="F999" s="33">
        <f>SCE_Ds[[#This Row],[With Margins ($)]]-SCE_Ds[[#This Row],[ without Margins ( $)]]</f>
        <v>2.0999999999999991E-2</v>
      </c>
      <c r="G999" s="11" t="str">
        <f>IF(E998&lt;0.5,"Low", "High")</f>
        <v>High</v>
      </c>
      <c r="H999" s="9">
        <f>SCE_Ds[[#This Row],[Margins ($)]]/SCE_Ds[[#This Row],[With Margins ($)]]</f>
        <v>8.4337349397590369E-2</v>
      </c>
    </row>
    <row r="1000" spans="1:8" x14ac:dyDescent="0.3">
      <c r="A1000">
        <v>311221</v>
      </c>
      <c r="B1000" t="s">
        <v>152</v>
      </c>
      <c r="C1000" s="33">
        <v>0.95599999999999996</v>
      </c>
      <c r="D1000" s="34">
        <v>3.6999999999999998E-2</v>
      </c>
      <c r="E1000" s="33">
        <v>0.99299999999999999</v>
      </c>
      <c r="F1000" s="33">
        <f>SCE_Ds[[#This Row],[With Margins ($)]]-SCE_Ds[[#This Row],[ without Margins ( $)]]</f>
        <v>3.7000000000000033E-2</v>
      </c>
      <c r="G1000" s="11" t="str">
        <f>IF(E999&lt;0.5,"Low", "High")</f>
        <v>Low</v>
      </c>
      <c r="H1000" s="9">
        <f>SCE_Ds[[#This Row],[Margins ($)]]/SCE_Ds[[#This Row],[With Margins ($)]]</f>
        <v>3.726082578046324E-2</v>
      </c>
    </row>
    <row r="1001" spans="1:8" x14ac:dyDescent="0.3">
      <c r="A1001">
        <v>111140</v>
      </c>
      <c r="B1001" t="s">
        <v>11</v>
      </c>
      <c r="C1001" s="33">
        <v>0.80900000000000005</v>
      </c>
      <c r="D1001" s="34">
        <v>0.04</v>
      </c>
      <c r="E1001" s="33">
        <v>0.84799999999999998</v>
      </c>
      <c r="F1001" s="33">
        <f>SCE_Ds[[#This Row],[With Margins ($)]]-SCE_Ds[[#This Row],[ without Margins ( $)]]</f>
        <v>3.8999999999999924E-2</v>
      </c>
      <c r="G1001" s="11" t="str">
        <f>IF(E1000&lt;0.5,"Low", "High")</f>
        <v>High</v>
      </c>
      <c r="H1001" s="9">
        <f>SCE_Ds[[#This Row],[Margins ($)]]/SCE_Ds[[#This Row],[With Margins ($)]]</f>
        <v>4.716981132075472E-2</v>
      </c>
    </row>
    <row r="1002" spans="1:8" x14ac:dyDescent="0.3">
      <c r="A1002">
        <v>425120</v>
      </c>
      <c r="B1002" t="s">
        <v>598</v>
      </c>
      <c r="C1002" s="33">
        <v>9.1999999999999998E-2</v>
      </c>
      <c r="D1002" s="33">
        <v>0</v>
      </c>
      <c r="E1002" s="33">
        <v>9.1999999999999998E-2</v>
      </c>
      <c r="F1002" s="33">
        <f>SCE_Ds[[#This Row],[With Margins ($)]]-SCE_Ds[[#This Row],[ without Margins ( $)]]</f>
        <v>0</v>
      </c>
      <c r="G1002" s="11" t="str">
        <f>IF(E1001&lt;0.5,"Low", "High")</f>
        <v>High</v>
      </c>
      <c r="H1002" s="9">
        <f>SCE_Ds[[#This Row],[Margins ($)]]/SCE_Ds[[#This Row],[With Margins ($)]]</f>
        <v>0</v>
      </c>
    </row>
    <row r="1003" spans="1:8" x14ac:dyDescent="0.3">
      <c r="A1003">
        <v>442291</v>
      </c>
      <c r="B1003" t="s">
        <v>609</v>
      </c>
      <c r="C1003" s="33">
        <v>0.111</v>
      </c>
      <c r="D1003" s="33">
        <v>0</v>
      </c>
      <c r="E1003" s="33">
        <v>0.111</v>
      </c>
      <c r="F1003" s="33">
        <f>SCE_Ds[[#This Row],[With Margins ($)]]-SCE_Ds[[#This Row],[ without Margins ( $)]]</f>
        <v>0</v>
      </c>
      <c r="G1003" s="11" t="str">
        <f>IF(E1002&lt;0.5,"Low", "High")</f>
        <v>Low</v>
      </c>
      <c r="H1003" s="9">
        <f>SCE_Ds[[#This Row],[Margins ($)]]/SCE_Ds[[#This Row],[With Margins ($)]]</f>
        <v>0</v>
      </c>
    </row>
    <row r="1004" spans="1:8" x14ac:dyDescent="0.3">
      <c r="A1004">
        <v>424820</v>
      </c>
      <c r="B1004" t="s">
        <v>590</v>
      </c>
      <c r="C1004" s="33">
        <v>0.14399999999999999</v>
      </c>
      <c r="D1004" s="33">
        <v>0</v>
      </c>
      <c r="E1004" s="33">
        <v>0.14399999999999999</v>
      </c>
      <c r="F1004" s="33">
        <f>SCE_Ds[[#This Row],[With Margins ($)]]-SCE_Ds[[#This Row],[ without Margins ( $)]]</f>
        <v>0</v>
      </c>
      <c r="G1004" s="11" t="str">
        <f>IF(E1003&lt;0.5,"Low", "High")</f>
        <v>Low</v>
      </c>
      <c r="H1004" s="9">
        <f>SCE_Ds[[#This Row],[Margins ($)]]/SCE_Ds[[#This Row],[With Margins ($)]]</f>
        <v>0</v>
      </c>
    </row>
    <row r="1005" spans="1:8" x14ac:dyDescent="0.3">
      <c r="A1005">
        <v>312130</v>
      </c>
      <c r="B1005" t="s">
        <v>197</v>
      </c>
      <c r="C1005" s="33">
        <v>0.123</v>
      </c>
      <c r="D1005" s="33">
        <v>5.8999999999999997E-2</v>
      </c>
      <c r="E1005" s="33">
        <v>0.182</v>
      </c>
      <c r="F1005" s="33">
        <f>SCE_Ds[[#This Row],[With Margins ($)]]-SCE_Ds[[#This Row],[ without Margins ( $)]]</f>
        <v>5.8999999999999997E-2</v>
      </c>
      <c r="G1005" s="11" t="str">
        <f>IF(E1004&lt;0.5,"Low", "High")</f>
        <v>Low</v>
      </c>
      <c r="H1005" s="9">
        <f>SCE_Ds[[#This Row],[Margins ($)]]/SCE_Ds[[#This Row],[With Margins ($)]]</f>
        <v>0.32417582417582419</v>
      </c>
    </row>
    <row r="1006" spans="1:8" x14ac:dyDescent="0.3">
      <c r="A1006">
        <v>517311</v>
      </c>
      <c r="B1006" t="s">
        <v>746</v>
      </c>
      <c r="C1006" s="33">
        <v>7.4999999999999997E-2</v>
      </c>
      <c r="D1006" s="33">
        <v>0</v>
      </c>
      <c r="E1006" s="33">
        <v>7.4999999999999997E-2</v>
      </c>
      <c r="F1006" s="33">
        <f>SCE_Ds[[#This Row],[With Margins ($)]]-SCE_Ds[[#This Row],[ without Margins ( $)]]</f>
        <v>0</v>
      </c>
      <c r="G1006" s="11" t="str">
        <f>IF(E1005&lt;0.5,"Low", "High")</f>
        <v>Low</v>
      </c>
      <c r="H1006" s="9">
        <f>SCE_Ds[[#This Row],[Margins ($)]]/SCE_Ds[[#This Row],[With Margins ($)]]</f>
        <v>0</v>
      </c>
    </row>
    <row r="1007" spans="1:8" x14ac:dyDescent="0.3">
      <c r="A1007">
        <v>517312</v>
      </c>
      <c r="B1007" t="s">
        <v>747</v>
      </c>
      <c r="C1007" s="33">
        <v>9.6000000000000002E-2</v>
      </c>
      <c r="D1007" s="33">
        <v>0</v>
      </c>
      <c r="E1007" s="33">
        <v>9.6000000000000002E-2</v>
      </c>
      <c r="F1007" s="33">
        <f>SCE_Ds[[#This Row],[With Margins ($)]]-SCE_Ds[[#This Row],[ without Margins ( $)]]</f>
        <v>0</v>
      </c>
      <c r="G1007" s="11" t="str">
        <f>IF(E1006&lt;0.5,"Low", "High")</f>
        <v>Low</v>
      </c>
      <c r="H1007" s="9">
        <f>SCE_Ds[[#This Row],[Margins ($)]]/SCE_Ds[[#This Row],[With Margins ($)]]</f>
        <v>0</v>
      </c>
    </row>
    <row r="1008" spans="1:8" x14ac:dyDescent="0.3">
      <c r="A1008">
        <v>448120</v>
      </c>
      <c r="B1008" t="s">
        <v>636</v>
      </c>
      <c r="C1008" s="33">
        <v>0.13800000000000001</v>
      </c>
      <c r="D1008" s="33">
        <v>0</v>
      </c>
      <c r="E1008" s="33">
        <v>0.13800000000000001</v>
      </c>
      <c r="F1008" s="33">
        <f>SCE_Ds[[#This Row],[With Margins ($)]]-SCE_Ds[[#This Row],[ without Margins ( $)]]</f>
        <v>0</v>
      </c>
      <c r="G1008" s="11" t="str">
        <f>IF(E1007&lt;0.5,"Low", "High")</f>
        <v>Low</v>
      </c>
      <c r="H1008" s="9">
        <f>SCE_Ds[[#This Row],[Margins ($)]]/SCE_Ds[[#This Row],[With Margins ($)]]</f>
        <v>0</v>
      </c>
    </row>
    <row r="1009" spans="1:8" x14ac:dyDescent="0.3">
      <c r="A1009">
        <v>316992</v>
      </c>
      <c r="B1009" t="s">
        <v>221</v>
      </c>
      <c r="C1009" s="33">
        <v>0.222</v>
      </c>
      <c r="D1009" s="33">
        <v>0.06</v>
      </c>
      <c r="E1009" s="33">
        <v>0.28199999999999997</v>
      </c>
      <c r="F1009" s="33">
        <f>SCE_Ds[[#This Row],[With Margins ($)]]-SCE_Ds[[#This Row],[ without Margins ( $)]]</f>
        <v>5.999999999999997E-2</v>
      </c>
      <c r="G1009" s="11" t="str">
        <f>IF(E1008&lt;0.5,"Low", "High")</f>
        <v>Low</v>
      </c>
      <c r="H1009" s="9">
        <f>SCE_Ds[[#This Row],[Margins ($)]]/SCE_Ds[[#This Row],[With Margins ($)]]</f>
        <v>0.21276595744680851</v>
      </c>
    </row>
    <row r="1010" spans="1:8" x14ac:dyDescent="0.3">
      <c r="A1010">
        <v>424330</v>
      </c>
      <c r="B1010" t="s">
        <v>571</v>
      </c>
      <c r="C1010" s="33">
        <v>0.14399999999999999</v>
      </c>
      <c r="D1010" s="33">
        <v>0</v>
      </c>
      <c r="E1010" s="33">
        <v>0.14399999999999999</v>
      </c>
      <c r="F1010" s="33">
        <f>SCE_Ds[[#This Row],[With Margins ($)]]-SCE_Ds[[#This Row],[ without Margins ( $)]]</f>
        <v>0</v>
      </c>
      <c r="G1010" s="11" t="str">
        <f>IF(E1009&lt;0.5,"Low", "High")</f>
        <v>Low</v>
      </c>
      <c r="H1010" s="9">
        <f>SCE_Ds[[#This Row],[Margins ($)]]/SCE_Ds[[#This Row],[With Margins ($)]]</f>
        <v>0</v>
      </c>
    </row>
    <row r="1011" spans="1:8" x14ac:dyDescent="0.3">
      <c r="A1011">
        <v>315240</v>
      </c>
      <c r="B1011" t="s">
        <v>216</v>
      </c>
      <c r="C1011" s="33">
        <v>0.06</v>
      </c>
      <c r="D1011" s="33">
        <v>0.06</v>
      </c>
      <c r="E1011" s="33">
        <v>0.12</v>
      </c>
      <c r="F1011" s="33">
        <f>SCE_Ds[[#This Row],[With Margins ($)]]-SCE_Ds[[#This Row],[ without Margins ( $)]]</f>
        <v>0.06</v>
      </c>
      <c r="G1011" s="11" t="str">
        <f>IF(E1010&lt;0.5,"Low", "High")</f>
        <v>Low</v>
      </c>
      <c r="H1011" s="9">
        <f>SCE_Ds[[#This Row],[Margins ($)]]/SCE_Ds[[#This Row],[With Margins ($)]]</f>
        <v>0.5</v>
      </c>
    </row>
    <row r="1012" spans="1:8" x14ac:dyDescent="0.3">
      <c r="A1012">
        <v>321920</v>
      </c>
      <c r="B1012" t="s">
        <v>233</v>
      </c>
      <c r="C1012" s="33">
        <v>0.13500000000000001</v>
      </c>
      <c r="D1012" s="33">
        <v>2.9000000000000001E-2</v>
      </c>
      <c r="E1012" s="33">
        <v>0.16400000000000001</v>
      </c>
      <c r="F1012" s="33">
        <f>SCE_Ds[[#This Row],[With Margins ($)]]-SCE_Ds[[#This Row],[ without Margins ( $)]]</f>
        <v>2.8999999999999998E-2</v>
      </c>
      <c r="G1012" s="11" t="str">
        <f>IF(E1011&lt;0.5,"Low", "High")</f>
        <v>Low</v>
      </c>
      <c r="H1012" s="9">
        <f>SCE_Ds[[#This Row],[Margins ($)]]/SCE_Ds[[#This Row],[With Margins ($)]]</f>
        <v>0.17682926829268292</v>
      </c>
    </row>
    <row r="1013" spans="1:8" x14ac:dyDescent="0.3">
      <c r="A1013">
        <v>337110</v>
      </c>
      <c r="B1013" t="s">
        <v>496</v>
      </c>
      <c r="C1013" s="33">
        <v>0.114</v>
      </c>
      <c r="D1013" s="33">
        <v>5.2999999999999999E-2</v>
      </c>
      <c r="E1013" s="33">
        <v>0.16600000000000001</v>
      </c>
      <c r="F1013" s="33">
        <f>SCE_Ds[[#This Row],[With Margins ($)]]-SCE_Ds[[#This Row],[ without Margins ( $)]]</f>
        <v>5.2000000000000005E-2</v>
      </c>
      <c r="G1013" s="11" t="str">
        <f>IF(E1012&lt;0.5,"Low", "High")</f>
        <v>Low</v>
      </c>
      <c r="H1013" s="9">
        <f>SCE_Ds[[#This Row],[Margins ($)]]/SCE_Ds[[#This Row],[With Margins ($)]]</f>
        <v>0.31927710843373491</v>
      </c>
    </row>
    <row r="1014" spans="1:8" x14ac:dyDescent="0.3">
      <c r="A1014">
        <v>337211</v>
      </c>
      <c r="B1014" t="s">
        <v>503</v>
      </c>
      <c r="C1014" s="33">
        <v>0.184</v>
      </c>
      <c r="D1014" s="33">
        <v>5.6000000000000001E-2</v>
      </c>
      <c r="E1014" s="33">
        <v>0.24</v>
      </c>
      <c r="F1014" s="33">
        <f>SCE_Ds[[#This Row],[With Margins ($)]]-SCE_Ds[[#This Row],[ without Margins ( $)]]</f>
        <v>5.5999999999999994E-2</v>
      </c>
      <c r="G1014" s="11" t="str">
        <f>IF(E1013&lt;0.5,"Low", "High")</f>
        <v>Low</v>
      </c>
      <c r="H1014" s="9">
        <f>SCE_Ds[[#This Row],[Margins ($)]]/SCE_Ds[[#This Row],[With Margins ($)]]</f>
        <v>0.23333333333333334</v>
      </c>
    </row>
    <row r="1015" spans="1:8" x14ac:dyDescent="0.3">
      <c r="A1015">
        <v>321114</v>
      </c>
      <c r="B1015" t="s">
        <v>224</v>
      </c>
      <c r="C1015" s="33">
        <v>0.22700000000000001</v>
      </c>
      <c r="D1015" s="33">
        <v>3.6999999999999998E-2</v>
      </c>
      <c r="E1015" s="33">
        <v>0.26400000000000001</v>
      </c>
      <c r="F1015" s="33">
        <f>SCE_Ds[[#This Row],[With Margins ($)]]-SCE_Ds[[#This Row],[ without Margins ( $)]]</f>
        <v>3.7000000000000005E-2</v>
      </c>
      <c r="G1015" s="11" t="str">
        <f>IF(E1014&lt;0.5,"Low", "High")</f>
        <v>Low</v>
      </c>
      <c r="H1015" s="9">
        <f>SCE_Ds[[#This Row],[Margins ($)]]/SCE_Ds[[#This Row],[With Margins ($)]]</f>
        <v>0.14015151515151514</v>
      </c>
    </row>
    <row r="1016" spans="1:8" x14ac:dyDescent="0.3">
      <c r="A1016">
        <v>321911</v>
      </c>
      <c r="B1016" t="s">
        <v>230</v>
      </c>
      <c r="C1016" s="33">
        <v>0.122</v>
      </c>
      <c r="D1016" s="33">
        <v>3.1E-2</v>
      </c>
      <c r="E1016" s="33">
        <v>0.154</v>
      </c>
      <c r="F1016" s="33">
        <f>SCE_Ds[[#This Row],[With Margins ($)]]-SCE_Ds[[#This Row],[ without Margins ( $)]]</f>
        <v>3.2000000000000001E-2</v>
      </c>
      <c r="G1016" s="11" t="str">
        <f>IF(E1015&lt;0.5,"Low", "High")</f>
        <v>Low</v>
      </c>
      <c r="H1016" s="9">
        <f>SCE_Ds[[#This Row],[Margins ($)]]/SCE_Ds[[#This Row],[With Margins ($)]]</f>
        <v>0.20129870129870131</v>
      </c>
    </row>
    <row r="1017" spans="1:8" x14ac:dyDescent="0.3">
      <c r="A1017">
        <v>712130</v>
      </c>
      <c r="B1017" t="s">
        <v>1004</v>
      </c>
      <c r="C1017" s="33">
        <v>0.13600000000000001</v>
      </c>
      <c r="D1017" s="33">
        <v>0</v>
      </c>
      <c r="E1017" s="33">
        <v>0.13600000000000001</v>
      </c>
      <c r="F1017" s="33">
        <f>SCE_Ds[[#This Row],[With Margins ($)]]-SCE_Ds[[#This Row],[ without Margins ( $)]]</f>
        <v>0</v>
      </c>
      <c r="G1017" s="11" t="str">
        <f>IF(E1016&lt;0.5,"Low", "High")</f>
        <v>Low</v>
      </c>
      <c r="H1017" s="9">
        <f>SCE_Ds[[#This Row],[Margins ($)]]/SCE_Ds[[#This Row],[With Margins ($)]]</f>
        <v>0</v>
      </c>
    </row>
  </sheetData>
  <phoneticPr fontId="18" type="noConversion"/>
  <conditionalFormatting sqref="G1:G1048576">
    <cfRule type="containsText" dxfId="12" priority="1" operator="containsText" text="Low">
      <formula>NOT(ISERROR(SEARCH("Low",G1)))</formula>
    </cfRule>
  </conditionalFormatting>
  <conditionalFormatting sqref="G2:G1017">
    <cfRule type="containsText" dxfId="11" priority="2" operator="containsText" text="High">
      <formula>NOT(ISERROR(SEARCH("High",G2)))</formula>
    </cfRule>
  </conditionalFormatting>
  <conditionalFormatting sqref="I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810B-B8E4-431C-B329-FE1A8819B5DA}">
  <dimension ref="A1:G1045"/>
  <sheetViews>
    <sheetView workbookViewId="0">
      <selection activeCell="I11" sqref="I11"/>
    </sheetView>
  </sheetViews>
  <sheetFormatPr defaultRowHeight="14.4" x14ac:dyDescent="0.3"/>
  <cols>
    <col min="2" max="2" width="46.21875" style="2" bestFit="1" customWidth="1"/>
    <col min="3" max="3" width="22.109375" bestFit="1" customWidth="1"/>
    <col min="6" max="6" width="55.109375" customWidth="1"/>
    <col min="7" max="7" width="28.5546875" style="14" bestFit="1" customWidth="1"/>
    <col min="8" max="22" width="6" bestFit="1" customWidth="1"/>
    <col min="23" max="23" width="5" bestFit="1" customWidth="1"/>
    <col min="24" max="31" width="6" bestFit="1" customWidth="1"/>
    <col min="32" max="32" width="5" bestFit="1" customWidth="1"/>
    <col min="33" max="41" width="6" bestFit="1" customWidth="1"/>
    <col min="42" max="42" width="5" bestFit="1" customWidth="1"/>
    <col min="43" max="49" width="6" bestFit="1" customWidth="1"/>
    <col min="50" max="50" width="4" bestFit="1" customWidth="1"/>
    <col min="51" max="58" width="6" bestFit="1" customWidth="1"/>
    <col min="59" max="59" width="5" bestFit="1" customWidth="1"/>
    <col min="60" max="64" width="6" bestFit="1" customWidth="1"/>
    <col min="65" max="65" width="5" bestFit="1" customWidth="1"/>
    <col min="66" max="69" width="6" bestFit="1" customWidth="1"/>
    <col min="70" max="70" width="5" bestFit="1" customWidth="1"/>
    <col min="71" max="76" width="6" bestFit="1" customWidth="1"/>
    <col min="77" max="77" width="5" bestFit="1" customWidth="1"/>
    <col min="78" max="82" width="6" bestFit="1" customWidth="1"/>
    <col min="83" max="83" width="5" bestFit="1" customWidth="1"/>
    <col min="84" max="89" width="6" bestFit="1" customWidth="1"/>
    <col min="90" max="90" width="5" bestFit="1" customWidth="1"/>
    <col min="91" max="95" width="6" bestFit="1" customWidth="1"/>
    <col min="96" max="96" width="5" bestFit="1" customWidth="1"/>
    <col min="97" max="105" width="6" bestFit="1" customWidth="1"/>
    <col min="106" max="106" width="5" bestFit="1" customWidth="1"/>
    <col min="107" max="114" width="6" bestFit="1" customWidth="1"/>
    <col min="115" max="115" width="5" bestFit="1" customWidth="1"/>
    <col min="116" max="120" width="6" bestFit="1" customWidth="1"/>
    <col min="121" max="121" width="4" bestFit="1" customWidth="1"/>
    <col min="122" max="128" width="6" bestFit="1" customWidth="1"/>
    <col min="129" max="129" width="5" bestFit="1" customWidth="1"/>
    <col min="130" max="136" width="6" bestFit="1" customWidth="1"/>
    <col min="137" max="137" width="5" bestFit="1" customWidth="1"/>
    <col min="138" max="149" width="6" bestFit="1" customWidth="1"/>
    <col min="150" max="150" width="5" bestFit="1" customWidth="1"/>
    <col min="151" max="155" width="6" bestFit="1" customWidth="1"/>
    <col min="156" max="156" width="5" bestFit="1" customWidth="1"/>
    <col min="157" max="167" width="6" bestFit="1" customWidth="1"/>
    <col min="168" max="168" width="5" bestFit="1" customWidth="1"/>
    <col min="169" max="193" width="6" bestFit="1" customWidth="1"/>
    <col min="194" max="194" width="5" bestFit="1" customWidth="1"/>
    <col min="195" max="200" width="6" bestFit="1" customWidth="1"/>
    <col min="201" max="201" width="5" bestFit="1" customWidth="1"/>
    <col min="202" max="226" width="6" bestFit="1" customWidth="1"/>
    <col min="227" max="227" width="5" bestFit="1" customWidth="1"/>
    <col min="228" max="237" width="6" bestFit="1" customWidth="1"/>
    <col min="238" max="238" width="4" bestFit="1" customWidth="1"/>
    <col min="239" max="247" width="6" bestFit="1" customWidth="1"/>
    <col min="248" max="248" width="5" bestFit="1" customWidth="1"/>
    <col min="249" max="259" width="6" bestFit="1" customWidth="1"/>
    <col min="260" max="260" width="5" bestFit="1" customWidth="1"/>
    <col min="261" max="273" width="6" bestFit="1" customWidth="1"/>
    <col min="274" max="274" width="5" bestFit="1" customWidth="1"/>
    <col min="275" max="276" width="6" bestFit="1" customWidth="1"/>
    <col min="277" max="277" width="5" bestFit="1" customWidth="1"/>
    <col min="278" max="287" width="6" bestFit="1" customWidth="1"/>
    <col min="288" max="288" width="10.77734375" bestFit="1" customWidth="1"/>
  </cols>
  <sheetData>
    <row r="1" spans="1:7" x14ac:dyDescent="0.3">
      <c r="A1" s="13">
        <v>1</v>
      </c>
      <c r="B1" s="16" t="s">
        <v>1087</v>
      </c>
      <c r="E1" s="13">
        <v>3</v>
      </c>
      <c r="F1" s="13" t="s">
        <v>1107</v>
      </c>
    </row>
    <row r="2" spans="1:7" x14ac:dyDescent="0.3">
      <c r="A2" s="13"/>
      <c r="B2" s="16"/>
    </row>
    <row r="3" spans="1:7" x14ac:dyDescent="0.3">
      <c r="F3" s="22" t="s">
        <v>1102</v>
      </c>
      <c r="G3" s="14" t="s">
        <v>1109</v>
      </c>
    </row>
    <row r="4" spans="1:7" x14ac:dyDescent="0.3">
      <c r="B4" s="29" t="s">
        <v>1100</v>
      </c>
      <c r="C4" s="29"/>
      <c r="F4" s="23" t="s">
        <v>1108</v>
      </c>
      <c r="G4" s="14">
        <v>146</v>
      </c>
    </row>
    <row r="5" spans="1:7" x14ac:dyDescent="0.3">
      <c r="B5" s="17"/>
      <c r="C5" s="14"/>
      <c r="F5" s="20" t="s">
        <v>1105</v>
      </c>
      <c r="G5" s="14">
        <v>870</v>
      </c>
    </row>
    <row r="6" spans="1:7" x14ac:dyDescent="0.3">
      <c r="B6" s="17" t="s">
        <v>1088</v>
      </c>
      <c r="C6" s="14">
        <v>0.28189763779527666</v>
      </c>
      <c r="F6" s="24" t="s">
        <v>1103</v>
      </c>
      <c r="G6" s="14">
        <v>1016</v>
      </c>
    </row>
    <row r="7" spans="1:7" x14ac:dyDescent="0.3">
      <c r="B7" s="17" t="s">
        <v>1089</v>
      </c>
      <c r="C7" s="14">
        <v>0.17299999999999999</v>
      </c>
    </row>
    <row r="8" spans="1:7" x14ac:dyDescent="0.3">
      <c r="B8" s="17" t="s">
        <v>1090</v>
      </c>
      <c r="C8" s="14">
        <v>0.111</v>
      </c>
    </row>
    <row r="9" spans="1:7" x14ac:dyDescent="0.3">
      <c r="B9" s="17" t="s">
        <v>1091</v>
      </c>
      <c r="C9" s="14">
        <v>0.3214166354609907</v>
      </c>
      <c r="E9" s="13">
        <v>4</v>
      </c>
      <c r="F9" s="28" t="s">
        <v>1111</v>
      </c>
    </row>
    <row r="10" spans="1:7" x14ac:dyDescent="0.3">
      <c r="B10" s="17" t="s">
        <v>1092</v>
      </c>
      <c r="C10" s="14">
        <v>0.10330865355106338</v>
      </c>
    </row>
    <row r="11" spans="1:7" x14ac:dyDescent="0.3">
      <c r="B11" s="17" t="s">
        <v>1093</v>
      </c>
      <c r="C11" s="14">
        <v>30.299196529260719</v>
      </c>
      <c r="F11" s="22" t="s">
        <v>1102</v>
      </c>
      <c r="G11" s="14" t="s">
        <v>1110</v>
      </c>
    </row>
    <row r="12" spans="1:7" x14ac:dyDescent="0.3">
      <c r="B12" s="17" t="s">
        <v>1094</v>
      </c>
      <c r="C12" s="14">
        <v>4.2360735427916891</v>
      </c>
      <c r="F12" s="24" t="s">
        <v>699</v>
      </c>
      <c r="G12" s="25">
        <v>1.619</v>
      </c>
    </row>
    <row r="13" spans="1:7" x14ac:dyDescent="0.3">
      <c r="B13" s="17" t="s">
        <v>1095</v>
      </c>
      <c r="C13" s="14">
        <v>3.895</v>
      </c>
      <c r="F13" s="24" t="s">
        <v>38</v>
      </c>
      <c r="G13" s="25">
        <v>2.8929999999999998</v>
      </c>
    </row>
    <row r="14" spans="1:7" x14ac:dyDescent="0.3">
      <c r="B14" s="17" t="s">
        <v>1096</v>
      </c>
      <c r="C14" s="14">
        <v>2.9000000000000001E-2</v>
      </c>
      <c r="F14" s="24" t="s">
        <v>40</v>
      </c>
      <c r="G14" s="25">
        <v>2.8929999999999998</v>
      </c>
    </row>
    <row r="15" spans="1:7" x14ac:dyDescent="0.3">
      <c r="B15" s="17" t="s">
        <v>1097</v>
      </c>
      <c r="C15" s="14">
        <v>3.9239999999999999</v>
      </c>
      <c r="F15" s="24" t="s">
        <v>311</v>
      </c>
      <c r="G15" s="25">
        <v>3.9239999999999999</v>
      </c>
    </row>
    <row r="16" spans="1:7" x14ac:dyDescent="0.3">
      <c r="B16" s="17" t="s">
        <v>1098</v>
      </c>
      <c r="C16" s="14">
        <v>286.4080000000011</v>
      </c>
      <c r="F16" s="24" t="s">
        <v>41</v>
      </c>
      <c r="G16" s="25">
        <v>1.724</v>
      </c>
    </row>
    <row r="17" spans="1:7" x14ac:dyDescent="0.3">
      <c r="B17" s="17" t="s">
        <v>1099</v>
      </c>
      <c r="C17" s="14">
        <v>1016</v>
      </c>
      <c r="F17" s="24" t="s">
        <v>42</v>
      </c>
      <c r="G17" s="25">
        <v>2.8929999999999998</v>
      </c>
    </row>
    <row r="18" spans="1:7" x14ac:dyDescent="0.3">
      <c r="F18" s="24" t="s">
        <v>317</v>
      </c>
      <c r="G18" s="25">
        <v>1.623</v>
      </c>
    </row>
    <row r="19" spans="1:7" x14ac:dyDescent="0.3">
      <c r="F19" s="24" t="s">
        <v>316</v>
      </c>
      <c r="G19" s="25">
        <v>1.623</v>
      </c>
    </row>
    <row r="20" spans="1:7" x14ac:dyDescent="0.3">
      <c r="F20" s="24" t="s">
        <v>696</v>
      </c>
      <c r="G20" s="25">
        <v>1.619</v>
      </c>
    </row>
    <row r="21" spans="1:7" x14ac:dyDescent="0.3">
      <c r="A21">
        <v>2</v>
      </c>
      <c r="B21" s="16" t="s">
        <v>1101</v>
      </c>
      <c r="F21" s="24" t="s">
        <v>697</v>
      </c>
      <c r="G21" s="25">
        <v>1.619</v>
      </c>
    </row>
    <row r="22" spans="1:7" x14ac:dyDescent="0.3">
      <c r="F22" s="24" t="s">
        <v>698</v>
      </c>
      <c r="G22" s="25">
        <v>1.619</v>
      </c>
    </row>
    <row r="23" spans="1:7" x14ac:dyDescent="0.3">
      <c r="B23" s="15" t="s">
        <v>1102</v>
      </c>
      <c r="C23" s="26" t="s">
        <v>1104</v>
      </c>
      <c r="F23" s="24" t="s">
        <v>1103</v>
      </c>
      <c r="G23" s="21">
        <v>3.9239999999999999</v>
      </c>
    </row>
    <row r="24" spans="1:7" x14ac:dyDescent="0.3">
      <c r="B24" s="8" t="s">
        <v>699</v>
      </c>
      <c r="C24" s="26">
        <v>1.619</v>
      </c>
      <c r="G24"/>
    </row>
    <row r="25" spans="1:7" x14ac:dyDescent="0.3">
      <c r="B25" s="8" t="s">
        <v>38</v>
      </c>
      <c r="C25" s="26">
        <v>2.8929999999999998</v>
      </c>
      <c r="G25"/>
    </row>
    <row r="26" spans="1:7" x14ac:dyDescent="0.3">
      <c r="B26" s="8" t="s">
        <v>40</v>
      </c>
      <c r="C26" s="26">
        <v>2.8929999999999998</v>
      </c>
      <c r="E26" s="13">
        <v>5</v>
      </c>
      <c r="F26" s="13" t="s">
        <v>1112</v>
      </c>
      <c r="G26"/>
    </row>
    <row r="27" spans="1:7" x14ac:dyDescent="0.3">
      <c r="B27" s="8" t="s">
        <v>311</v>
      </c>
      <c r="C27" s="26">
        <v>3.9239999999999999</v>
      </c>
      <c r="G27"/>
    </row>
    <row r="28" spans="1:7" x14ac:dyDescent="0.3">
      <c r="B28" s="8" t="s">
        <v>41</v>
      </c>
      <c r="C28" s="26">
        <v>1.724</v>
      </c>
      <c r="F28" s="15" t="s">
        <v>1102</v>
      </c>
      <c r="G28" s="14" t="s">
        <v>1113</v>
      </c>
    </row>
    <row r="29" spans="1:7" x14ac:dyDescent="0.3">
      <c r="B29" s="8" t="s">
        <v>42</v>
      </c>
      <c r="C29" s="26">
        <v>2.8929999999999998</v>
      </c>
      <c r="F29" s="19" t="s">
        <v>730</v>
      </c>
      <c r="G29" s="27">
        <v>0.5092592592592593</v>
      </c>
    </row>
    <row r="30" spans="1:7" x14ac:dyDescent="0.3">
      <c r="B30" s="8" t="s">
        <v>317</v>
      </c>
      <c r="C30" s="26">
        <v>1.623</v>
      </c>
      <c r="F30" s="19" t="s">
        <v>218</v>
      </c>
      <c r="G30" s="27">
        <v>0.5</v>
      </c>
    </row>
    <row r="31" spans="1:7" x14ac:dyDescent="0.3">
      <c r="B31" s="8" t="s">
        <v>316</v>
      </c>
      <c r="C31" s="26">
        <v>1.623</v>
      </c>
      <c r="F31" s="19" t="s">
        <v>214</v>
      </c>
      <c r="G31" s="27">
        <v>0.5</v>
      </c>
    </row>
    <row r="32" spans="1:7" x14ac:dyDescent="0.3">
      <c r="B32" s="8" t="s">
        <v>696</v>
      </c>
      <c r="C32" s="26">
        <v>1.619</v>
      </c>
      <c r="F32" s="19" t="s">
        <v>727</v>
      </c>
      <c r="G32" s="27">
        <v>0.5092592592592593</v>
      </c>
    </row>
    <row r="33" spans="2:7" x14ac:dyDescent="0.3">
      <c r="B33" s="8" t="s">
        <v>697</v>
      </c>
      <c r="C33" s="26">
        <v>1.619</v>
      </c>
      <c r="F33" s="19" t="s">
        <v>729</v>
      </c>
      <c r="G33" s="27">
        <v>0.5092592592592593</v>
      </c>
    </row>
    <row r="34" spans="2:7" x14ac:dyDescent="0.3">
      <c r="B34" s="8" t="s">
        <v>698</v>
      </c>
      <c r="C34" s="26">
        <v>1.619</v>
      </c>
      <c r="F34" s="19" t="s">
        <v>212</v>
      </c>
      <c r="G34" s="27">
        <v>0.5</v>
      </c>
    </row>
    <row r="35" spans="2:7" x14ac:dyDescent="0.3">
      <c r="B35" s="18" t="s">
        <v>1103</v>
      </c>
      <c r="C35" s="26">
        <v>2.1862727272727271</v>
      </c>
      <c r="F35" s="19" t="s">
        <v>381</v>
      </c>
      <c r="G35" s="27">
        <v>0.56666666666666676</v>
      </c>
    </row>
    <row r="36" spans="2:7" x14ac:dyDescent="0.3">
      <c r="B36"/>
      <c r="F36" s="19" t="s">
        <v>215</v>
      </c>
      <c r="G36" s="27">
        <v>0.5</v>
      </c>
    </row>
    <row r="37" spans="2:7" x14ac:dyDescent="0.3">
      <c r="B37"/>
      <c r="F37" s="19" t="s">
        <v>213</v>
      </c>
      <c r="G37" s="27">
        <v>0.5</v>
      </c>
    </row>
    <row r="38" spans="2:7" x14ac:dyDescent="0.3">
      <c r="B38"/>
      <c r="F38" s="19" t="s">
        <v>428</v>
      </c>
      <c r="G38" s="27">
        <v>0.52500000000000002</v>
      </c>
    </row>
    <row r="39" spans="2:7" x14ac:dyDescent="0.3">
      <c r="B39"/>
      <c r="F39" s="19" t="s">
        <v>217</v>
      </c>
      <c r="G39" s="27">
        <v>0.5</v>
      </c>
    </row>
    <row r="40" spans="2:7" x14ac:dyDescent="0.3">
      <c r="B40"/>
      <c r="F40" s="19" t="s">
        <v>274</v>
      </c>
      <c r="G40" s="27">
        <v>0.53535353535353536</v>
      </c>
    </row>
    <row r="41" spans="2:7" x14ac:dyDescent="0.3">
      <c r="B41"/>
      <c r="F41" s="19" t="s">
        <v>460</v>
      </c>
      <c r="G41" s="27">
        <v>0.55339805825242727</v>
      </c>
    </row>
    <row r="42" spans="2:7" x14ac:dyDescent="0.3">
      <c r="B42"/>
      <c r="F42" s="19" t="s">
        <v>731</v>
      </c>
      <c r="G42" s="27">
        <v>0.5625</v>
      </c>
    </row>
    <row r="43" spans="2:7" x14ac:dyDescent="0.3">
      <c r="B43"/>
      <c r="F43" s="19" t="s">
        <v>216</v>
      </c>
      <c r="G43" s="27">
        <v>0.5</v>
      </c>
    </row>
    <row r="44" spans="2:7" x14ac:dyDescent="0.3">
      <c r="B44"/>
      <c r="F44" s="8" t="s">
        <v>1103</v>
      </c>
      <c r="G44" s="27">
        <v>0.51804640253669387</v>
      </c>
    </row>
    <row r="45" spans="2:7" x14ac:dyDescent="0.3">
      <c r="B45"/>
      <c r="G45"/>
    </row>
    <row r="46" spans="2:7" x14ac:dyDescent="0.3">
      <c r="B46"/>
      <c r="G46"/>
    </row>
    <row r="47" spans="2:7" x14ac:dyDescent="0.3">
      <c r="B47"/>
      <c r="G47"/>
    </row>
    <row r="48" spans="2:7" x14ac:dyDescent="0.3">
      <c r="B48"/>
      <c r="G48"/>
    </row>
    <row r="49" spans="2:7" x14ac:dyDescent="0.3">
      <c r="B49"/>
      <c r="G49"/>
    </row>
    <row r="50" spans="2:7" x14ac:dyDescent="0.3">
      <c r="B50"/>
      <c r="G50"/>
    </row>
    <row r="51" spans="2:7" x14ac:dyDescent="0.3">
      <c r="B51"/>
      <c r="G51"/>
    </row>
    <row r="52" spans="2:7" x14ac:dyDescent="0.3">
      <c r="B52"/>
      <c r="G52"/>
    </row>
    <row r="53" spans="2:7" x14ac:dyDescent="0.3">
      <c r="B53"/>
      <c r="G53"/>
    </row>
    <row r="54" spans="2:7" x14ac:dyDescent="0.3">
      <c r="B54"/>
      <c r="G54"/>
    </row>
    <row r="55" spans="2:7" x14ac:dyDescent="0.3">
      <c r="B55"/>
      <c r="G55"/>
    </row>
    <row r="56" spans="2:7" x14ac:dyDescent="0.3">
      <c r="B56"/>
      <c r="G56"/>
    </row>
    <row r="57" spans="2:7" x14ac:dyDescent="0.3">
      <c r="B57"/>
      <c r="G57"/>
    </row>
    <row r="58" spans="2:7" x14ac:dyDescent="0.3">
      <c r="B58"/>
      <c r="G58"/>
    </row>
    <row r="59" spans="2:7" x14ac:dyDescent="0.3">
      <c r="B59"/>
      <c r="G59"/>
    </row>
    <row r="60" spans="2:7" x14ac:dyDescent="0.3">
      <c r="B60"/>
      <c r="G60"/>
    </row>
    <row r="61" spans="2:7" x14ac:dyDescent="0.3">
      <c r="B61"/>
      <c r="G61"/>
    </row>
    <row r="62" spans="2:7" x14ac:dyDescent="0.3">
      <c r="B62"/>
      <c r="G62"/>
    </row>
    <row r="63" spans="2:7" x14ac:dyDescent="0.3">
      <c r="B63"/>
      <c r="G63"/>
    </row>
    <row r="64" spans="2:7" x14ac:dyDescent="0.3">
      <c r="B64"/>
      <c r="G64"/>
    </row>
    <row r="65" spans="2:7" x14ac:dyDescent="0.3">
      <c r="B65"/>
      <c r="G65"/>
    </row>
    <row r="66" spans="2:7" x14ac:dyDescent="0.3">
      <c r="B66"/>
      <c r="G66"/>
    </row>
    <row r="67" spans="2:7" x14ac:dyDescent="0.3">
      <c r="B67"/>
      <c r="G67"/>
    </row>
    <row r="68" spans="2:7" x14ac:dyDescent="0.3">
      <c r="B68"/>
      <c r="G68"/>
    </row>
    <row r="69" spans="2:7" x14ac:dyDescent="0.3">
      <c r="B69"/>
      <c r="G69"/>
    </row>
    <row r="70" spans="2:7" x14ac:dyDescent="0.3">
      <c r="B70"/>
      <c r="G70"/>
    </row>
    <row r="71" spans="2:7" x14ac:dyDescent="0.3">
      <c r="B71"/>
      <c r="G71"/>
    </row>
    <row r="72" spans="2:7" x14ac:dyDescent="0.3">
      <c r="B72"/>
      <c r="G72"/>
    </row>
    <row r="73" spans="2:7" x14ac:dyDescent="0.3">
      <c r="B73"/>
      <c r="G73"/>
    </row>
    <row r="74" spans="2:7" x14ac:dyDescent="0.3">
      <c r="B74"/>
      <c r="G74"/>
    </row>
    <row r="75" spans="2:7" x14ac:dyDescent="0.3">
      <c r="B75"/>
      <c r="G75"/>
    </row>
    <row r="76" spans="2:7" x14ac:dyDescent="0.3">
      <c r="B76"/>
      <c r="G76"/>
    </row>
    <row r="77" spans="2:7" x14ac:dyDescent="0.3">
      <c r="B77"/>
      <c r="G77"/>
    </row>
    <row r="78" spans="2:7" x14ac:dyDescent="0.3">
      <c r="B78"/>
      <c r="G78"/>
    </row>
    <row r="79" spans="2:7" x14ac:dyDescent="0.3">
      <c r="B79"/>
      <c r="G79"/>
    </row>
    <row r="80" spans="2:7" x14ac:dyDescent="0.3">
      <c r="B80"/>
      <c r="G80"/>
    </row>
    <row r="81" spans="2:7" x14ac:dyDescent="0.3">
      <c r="B81"/>
      <c r="G81"/>
    </row>
    <row r="82" spans="2:7" x14ac:dyDescent="0.3">
      <c r="B82"/>
      <c r="G82"/>
    </row>
    <row r="83" spans="2:7" x14ac:dyDescent="0.3">
      <c r="B83"/>
      <c r="G83"/>
    </row>
    <row r="84" spans="2:7" x14ac:dyDescent="0.3">
      <c r="B84"/>
      <c r="G84"/>
    </row>
    <row r="85" spans="2:7" x14ac:dyDescent="0.3">
      <c r="B85"/>
      <c r="G85"/>
    </row>
    <row r="86" spans="2:7" x14ac:dyDescent="0.3">
      <c r="B86"/>
      <c r="G86"/>
    </row>
    <row r="87" spans="2:7" x14ac:dyDescent="0.3">
      <c r="B87"/>
      <c r="G87"/>
    </row>
    <row r="88" spans="2:7" x14ac:dyDescent="0.3">
      <c r="B88"/>
      <c r="G88"/>
    </row>
    <row r="89" spans="2:7" x14ac:dyDescent="0.3">
      <c r="B89"/>
      <c r="G89"/>
    </row>
    <row r="90" spans="2:7" x14ac:dyDescent="0.3">
      <c r="B90"/>
      <c r="G90"/>
    </row>
    <row r="91" spans="2:7" x14ac:dyDescent="0.3">
      <c r="B91"/>
      <c r="G91"/>
    </row>
    <row r="92" spans="2:7" x14ac:dyDescent="0.3">
      <c r="B92"/>
      <c r="G92"/>
    </row>
    <row r="93" spans="2:7" x14ac:dyDescent="0.3">
      <c r="B93"/>
      <c r="G93"/>
    </row>
    <row r="94" spans="2:7" x14ac:dyDescent="0.3">
      <c r="B94"/>
      <c r="G94"/>
    </row>
    <row r="95" spans="2:7" x14ac:dyDescent="0.3">
      <c r="B95"/>
      <c r="G95"/>
    </row>
    <row r="96" spans="2:7" x14ac:dyDescent="0.3">
      <c r="B96"/>
      <c r="G96"/>
    </row>
    <row r="97" spans="2:7" x14ac:dyDescent="0.3">
      <c r="B97"/>
      <c r="G97"/>
    </row>
    <row r="98" spans="2:7" x14ac:dyDescent="0.3">
      <c r="B98"/>
      <c r="G98"/>
    </row>
    <row r="99" spans="2:7" x14ac:dyDescent="0.3">
      <c r="B99"/>
      <c r="G99"/>
    </row>
    <row r="100" spans="2:7" x14ac:dyDescent="0.3">
      <c r="B100"/>
      <c r="G100"/>
    </row>
    <row r="101" spans="2:7" x14ac:dyDescent="0.3">
      <c r="B101"/>
      <c r="G101"/>
    </row>
    <row r="102" spans="2:7" x14ac:dyDescent="0.3">
      <c r="B102"/>
      <c r="G102"/>
    </row>
    <row r="103" spans="2:7" x14ac:dyDescent="0.3">
      <c r="B103"/>
      <c r="G103"/>
    </row>
    <row r="104" spans="2:7" x14ac:dyDescent="0.3">
      <c r="B104"/>
      <c r="G104"/>
    </row>
    <row r="105" spans="2:7" x14ac:dyDescent="0.3">
      <c r="B105"/>
      <c r="G105"/>
    </row>
    <row r="106" spans="2:7" x14ac:dyDescent="0.3">
      <c r="B106"/>
      <c r="G106"/>
    </row>
    <row r="107" spans="2:7" x14ac:dyDescent="0.3">
      <c r="B107"/>
      <c r="G107"/>
    </row>
    <row r="108" spans="2:7" x14ac:dyDescent="0.3">
      <c r="B108"/>
      <c r="G108"/>
    </row>
    <row r="109" spans="2:7" x14ac:dyDescent="0.3">
      <c r="B109"/>
      <c r="G109"/>
    </row>
    <row r="110" spans="2:7" x14ac:dyDescent="0.3">
      <c r="B110"/>
      <c r="G110"/>
    </row>
    <row r="111" spans="2:7" x14ac:dyDescent="0.3">
      <c r="B111"/>
      <c r="G111"/>
    </row>
    <row r="112" spans="2:7" x14ac:dyDescent="0.3">
      <c r="B112"/>
      <c r="G112"/>
    </row>
    <row r="113" spans="2:7" x14ac:dyDescent="0.3">
      <c r="B113"/>
      <c r="G113"/>
    </row>
    <row r="114" spans="2:7" x14ac:dyDescent="0.3">
      <c r="B114"/>
      <c r="G114"/>
    </row>
    <row r="115" spans="2:7" x14ac:dyDescent="0.3">
      <c r="B115"/>
      <c r="G115"/>
    </row>
    <row r="116" spans="2:7" x14ac:dyDescent="0.3">
      <c r="B116"/>
      <c r="G116"/>
    </row>
    <row r="117" spans="2:7" x14ac:dyDescent="0.3">
      <c r="B117"/>
      <c r="G117"/>
    </row>
    <row r="118" spans="2:7" x14ac:dyDescent="0.3">
      <c r="B118"/>
      <c r="G118"/>
    </row>
    <row r="119" spans="2:7" x14ac:dyDescent="0.3">
      <c r="B119"/>
      <c r="G119"/>
    </row>
    <row r="120" spans="2:7" x14ac:dyDescent="0.3">
      <c r="B120"/>
      <c r="G120"/>
    </row>
    <row r="121" spans="2:7" x14ac:dyDescent="0.3">
      <c r="B121"/>
      <c r="G121"/>
    </row>
    <row r="122" spans="2:7" x14ac:dyDescent="0.3">
      <c r="B122"/>
      <c r="G122"/>
    </row>
    <row r="123" spans="2:7" x14ac:dyDescent="0.3">
      <c r="B123"/>
      <c r="G123"/>
    </row>
    <row r="124" spans="2:7" x14ac:dyDescent="0.3">
      <c r="B124"/>
      <c r="G124"/>
    </row>
    <row r="125" spans="2:7" x14ac:dyDescent="0.3">
      <c r="B125"/>
      <c r="G125"/>
    </row>
    <row r="126" spans="2:7" x14ac:dyDescent="0.3">
      <c r="B126"/>
      <c r="G126"/>
    </row>
    <row r="127" spans="2:7" x14ac:dyDescent="0.3">
      <c r="B127"/>
      <c r="G127"/>
    </row>
    <row r="128" spans="2:7" x14ac:dyDescent="0.3">
      <c r="B128"/>
      <c r="G128"/>
    </row>
    <row r="129" spans="2:7" x14ac:dyDescent="0.3">
      <c r="B129"/>
      <c r="G129"/>
    </row>
    <row r="130" spans="2:7" x14ac:dyDescent="0.3">
      <c r="B130"/>
      <c r="G130"/>
    </row>
    <row r="131" spans="2:7" x14ac:dyDescent="0.3">
      <c r="B131"/>
      <c r="G131"/>
    </row>
    <row r="132" spans="2:7" x14ac:dyDescent="0.3">
      <c r="B132"/>
      <c r="G132"/>
    </row>
    <row r="133" spans="2:7" x14ac:dyDescent="0.3">
      <c r="B133"/>
      <c r="G133"/>
    </row>
    <row r="134" spans="2:7" x14ac:dyDescent="0.3">
      <c r="B134"/>
      <c r="G134"/>
    </row>
    <row r="135" spans="2:7" x14ac:dyDescent="0.3">
      <c r="B135"/>
      <c r="G135"/>
    </row>
    <row r="136" spans="2:7" x14ac:dyDescent="0.3">
      <c r="B136"/>
      <c r="G136"/>
    </row>
    <row r="137" spans="2:7" x14ac:dyDescent="0.3">
      <c r="B137"/>
      <c r="G137"/>
    </row>
    <row r="138" spans="2:7" x14ac:dyDescent="0.3">
      <c r="B138"/>
      <c r="G138"/>
    </row>
    <row r="139" spans="2:7" x14ac:dyDescent="0.3">
      <c r="B139"/>
      <c r="G139"/>
    </row>
    <row r="140" spans="2:7" x14ac:dyDescent="0.3">
      <c r="B140"/>
      <c r="G140"/>
    </row>
    <row r="141" spans="2:7" x14ac:dyDescent="0.3">
      <c r="B141"/>
      <c r="G141"/>
    </row>
    <row r="142" spans="2:7" x14ac:dyDescent="0.3">
      <c r="B142"/>
      <c r="G142"/>
    </row>
    <row r="143" spans="2:7" x14ac:dyDescent="0.3">
      <c r="B143"/>
      <c r="G143"/>
    </row>
    <row r="144" spans="2:7" x14ac:dyDescent="0.3">
      <c r="B144"/>
      <c r="G144"/>
    </row>
    <row r="145" spans="2:7" x14ac:dyDescent="0.3">
      <c r="B145"/>
      <c r="G145"/>
    </row>
    <row r="146" spans="2:7" x14ac:dyDescent="0.3">
      <c r="B146"/>
      <c r="G146"/>
    </row>
    <row r="147" spans="2:7" x14ac:dyDescent="0.3">
      <c r="B147"/>
      <c r="G147"/>
    </row>
    <row r="148" spans="2:7" x14ac:dyDescent="0.3">
      <c r="B148"/>
      <c r="G148"/>
    </row>
    <row r="149" spans="2:7" x14ac:dyDescent="0.3">
      <c r="B149"/>
      <c r="G149"/>
    </row>
    <row r="150" spans="2:7" x14ac:dyDescent="0.3">
      <c r="B150"/>
      <c r="G150"/>
    </row>
    <row r="151" spans="2:7" x14ac:dyDescent="0.3">
      <c r="B151"/>
      <c r="G151"/>
    </row>
    <row r="152" spans="2:7" x14ac:dyDescent="0.3">
      <c r="B152"/>
      <c r="G152"/>
    </row>
    <row r="153" spans="2:7" x14ac:dyDescent="0.3">
      <c r="B153"/>
      <c r="G153"/>
    </row>
    <row r="154" spans="2:7" x14ac:dyDescent="0.3">
      <c r="B154"/>
      <c r="G154"/>
    </row>
    <row r="155" spans="2:7" x14ac:dyDescent="0.3">
      <c r="B155"/>
      <c r="G155"/>
    </row>
    <row r="156" spans="2:7" x14ac:dyDescent="0.3">
      <c r="B156"/>
      <c r="G156"/>
    </row>
    <row r="157" spans="2:7" x14ac:dyDescent="0.3">
      <c r="B157"/>
      <c r="G157"/>
    </row>
    <row r="158" spans="2:7" x14ac:dyDescent="0.3">
      <c r="B158"/>
      <c r="G158"/>
    </row>
    <row r="159" spans="2:7" x14ac:dyDescent="0.3">
      <c r="B159"/>
      <c r="G159"/>
    </row>
    <row r="160" spans="2:7" x14ac:dyDescent="0.3">
      <c r="B160"/>
      <c r="G160"/>
    </row>
    <row r="161" spans="2:7" x14ac:dyDescent="0.3">
      <c r="B161"/>
      <c r="G161"/>
    </row>
    <row r="162" spans="2:7" x14ac:dyDescent="0.3">
      <c r="B162"/>
      <c r="G162"/>
    </row>
    <row r="163" spans="2:7" x14ac:dyDescent="0.3">
      <c r="B163"/>
      <c r="G163"/>
    </row>
    <row r="164" spans="2:7" x14ac:dyDescent="0.3">
      <c r="B164"/>
      <c r="G164"/>
    </row>
    <row r="165" spans="2:7" x14ac:dyDescent="0.3">
      <c r="B165"/>
      <c r="G165"/>
    </row>
    <row r="166" spans="2:7" x14ac:dyDescent="0.3">
      <c r="B166"/>
      <c r="G166"/>
    </row>
    <row r="167" spans="2:7" x14ac:dyDescent="0.3">
      <c r="B167"/>
      <c r="G167"/>
    </row>
    <row r="168" spans="2:7" x14ac:dyDescent="0.3">
      <c r="B168"/>
      <c r="G168"/>
    </row>
    <row r="169" spans="2:7" x14ac:dyDescent="0.3">
      <c r="B169"/>
      <c r="G169"/>
    </row>
    <row r="170" spans="2:7" x14ac:dyDescent="0.3">
      <c r="B170"/>
      <c r="G170"/>
    </row>
    <row r="171" spans="2:7" x14ac:dyDescent="0.3">
      <c r="B171"/>
      <c r="G171"/>
    </row>
    <row r="172" spans="2:7" x14ac:dyDescent="0.3">
      <c r="B172"/>
      <c r="G172"/>
    </row>
    <row r="173" spans="2:7" x14ac:dyDescent="0.3">
      <c r="B173"/>
      <c r="G173"/>
    </row>
    <row r="174" spans="2:7" x14ac:dyDescent="0.3">
      <c r="B174"/>
      <c r="G174"/>
    </row>
    <row r="175" spans="2:7" x14ac:dyDescent="0.3">
      <c r="B175"/>
      <c r="G175"/>
    </row>
    <row r="176" spans="2:7" x14ac:dyDescent="0.3">
      <c r="B176"/>
      <c r="G176"/>
    </row>
    <row r="177" spans="2:7" x14ac:dyDescent="0.3">
      <c r="B177"/>
      <c r="G177"/>
    </row>
    <row r="178" spans="2:7" x14ac:dyDescent="0.3">
      <c r="B178"/>
      <c r="G178"/>
    </row>
    <row r="179" spans="2:7" x14ac:dyDescent="0.3">
      <c r="B179"/>
      <c r="G179"/>
    </row>
    <row r="180" spans="2:7" x14ac:dyDescent="0.3">
      <c r="B180"/>
      <c r="G180"/>
    </row>
    <row r="181" spans="2:7" x14ac:dyDescent="0.3">
      <c r="B181"/>
      <c r="G181"/>
    </row>
    <row r="182" spans="2:7" x14ac:dyDescent="0.3">
      <c r="B182"/>
      <c r="G182"/>
    </row>
    <row r="183" spans="2:7" x14ac:dyDescent="0.3">
      <c r="B183"/>
      <c r="G183"/>
    </row>
    <row r="184" spans="2:7" x14ac:dyDescent="0.3">
      <c r="B184"/>
      <c r="G184"/>
    </row>
    <row r="185" spans="2:7" x14ac:dyDescent="0.3">
      <c r="B185"/>
      <c r="G185"/>
    </row>
    <row r="186" spans="2:7" x14ac:dyDescent="0.3">
      <c r="B186"/>
      <c r="G186"/>
    </row>
    <row r="187" spans="2:7" x14ac:dyDescent="0.3">
      <c r="B187"/>
      <c r="G187"/>
    </row>
    <row r="188" spans="2:7" x14ac:dyDescent="0.3">
      <c r="B188"/>
      <c r="G188"/>
    </row>
    <row r="189" spans="2:7" x14ac:dyDescent="0.3">
      <c r="B189"/>
      <c r="G189"/>
    </row>
    <row r="190" spans="2:7" x14ac:dyDescent="0.3">
      <c r="B190"/>
      <c r="G190"/>
    </row>
    <row r="191" spans="2:7" x14ac:dyDescent="0.3">
      <c r="B191"/>
      <c r="G191"/>
    </row>
    <row r="192" spans="2:7" x14ac:dyDescent="0.3">
      <c r="B192"/>
      <c r="G192"/>
    </row>
    <row r="193" spans="2:7" x14ac:dyDescent="0.3">
      <c r="B193"/>
      <c r="G193"/>
    </row>
    <row r="194" spans="2:7" x14ac:dyDescent="0.3">
      <c r="B194"/>
      <c r="G194"/>
    </row>
    <row r="195" spans="2:7" x14ac:dyDescent="0.3">
      <c r="B195"/>
      <c r="G195"/>
    </row>
    <row r="196" spans="2:7" x14ac:dyDescent="0.3">
      <c r="B196"/>
      <c r="G196"/>
    </row>
    <row r="197" spans="2:7" x14ac:dyDescent="0.3">
      <c r="B197"/>
      <c r="G197"/>
    </row>
    <row r="198" spans="2:7" x14ac:dyDescent="0.3">
      <c r="B198"/>
      <c r="G198"/>
    </row>
    <row r="199" spans="2:7" x14ac:dyDescent="0.3">
      <c r="B199"/>
      <c r="G199"/>
    </row>
    <row r="200" spans="2:7" x14ac:dyDescent="0.3">
      <c r="B200"/>
      <c r="G200"/>
    </row>
    <row r="201" spans="2:7" x14ac:dyDescent="0.3">
      <c r="B201"/>
      <c r="G201"/>
    </row>
    <row r="202" spans="2:7" x14ac:dyDescent="0.3">
      <c r="B202"/>
      <c r="G202"/>
    </row>
    <row r="203" spans="2:7" x14ac:dyDescent="0.3">
      <c r="B203"/>
      <c r="G203"/>
    </row>
    <row r="204" spans="2:7" x14ac:dyDescent="0.3">
      <c r="B204"/>
      <c r="G204"/>
    </row>
    <row r="205" spans="2:7" x14ac:dyDescent="0.3">
      <c r="B205"/>
      <c r="G205"/>
    </row>
    <row r="206" spans="2:7" x14ac:dyDescent="0.3">
      <c r="B206"/>
      <c r="G206"/>
    </row>
    <row r="207" spans="2:7" x14ac:dyDescent="0.3">
      <c r="B207"/>
      <c r="G207"/>
    </row>
    <row r="208" spans="2:7" x14ac:dyDescent="0.3">
      <c r="B208"/>
      <c r="G208"/>
    </row>
    <row r="209" spans="2:7" x14ac:dyDescent="0.3">
      <c r="B209"/>
      <c r="G209"/>
    </row>
    <row r="210" spans="2:7" x14ac:dyDescent="0.3">
      <c r="B210"/>
      <c r="G210"/>
    </row>
    <row r="211" spans="2:7" x14ac:dyDescent="0.3">
      <c r="B211"/>
      <c r="G211"/>
    </row>
    <row r="212" spans="2:7" x14ac:dyDescent="0.3">
      <c r="B212"/>
      <c r="G212"/>
    </row>
    <row r="213" spans="2:7" x14ac:dyDescent="0.3">
      <c r="B213"/>
      <c r="G213"/>
    </row>
    <row r="214" spans="2:7" x14ac:dyDescent="0.3">
      <c r="B214"/>
      <c r="G214"/>
    </row>
    <row r="215" spans="2:7" x14ac:dyDescent="0.3">
      <c r="B215"/>
      <c r="G215"/>
    </row>
    <row r="216" spans="2:7" x14ac:dyDescent="0.3">
      <c r="B216"/>
      <c r="G216"/>
    </row>
    <row r="217" spans="2:7" x14ac:dyDescent="0.3">
      <c r="B217"/>
      <c r="G217"/>
    </row>
    <row r="218" spans="2:7" x14ac:dyDescent="0.3">
      <c r="B218"/>
      <c r="G218"/>
    </row>
    <row r="219" spans="2:7" x14ac:dyDescent="0.3">
      <c r="B219"/>
      <c r="G219"/>
    </row>
    <row r="220" spans="2:7" x14ac:dyDescent="0.3">
      <c r="B220"/>
      <c r="G220"/>
    </row>
    <row r="221" spans="2:7" x14ac:dyDescent="0.3">
      <c r="B221"/>
      <c r="G221"/>
    </row>
    <row r="222" spans="2:7" x14ac:dyDescent="0.3">
      <c r="B222"/>
      <c r="G222"/>
    </row>
    <row r="223" spans="2:7" x14ac:dyDescent="0.3">
      <c r="B223"/>
      <c r="G223"/>
    </row>
    <row r="224" spans="2:7" x14ac:dyDescent="0.3">
      <c r="B224"/>
      <c r="G224"/>
    </row>
    <row r="225" spans="2:7" x14ac:dyDescent="0.3">
      <c r="B225"/>
      <c r="G225"/>
    </row>
    <row r="226" spans="2:7" x14ac:dyDescent="0.3">
      <c r="B226"/>
      <c r="G226"/>
    </row>
    <row r="227" spans="2:7" x14ac:dyDescent="0.3">
      <c r="B227"/>
      <c r="G227"/>
    </row>
    <row r="228" spans="2:7" x14ac:dyDescent="0.3">
      <c r="B228"/>
      <c r="G228"/>
    </row>
    <row r="229" spans="2:7" x14ac:dyDescent="0.3">
      <c r="B229"/>
      <c r="G229"/>
    </row>
    <row r="230" spans="2:7" x14ac:dyDescent="0.3">
      <c r="B230"/>
      <c r="G230"/>
    </row>
    <row r="231" spans="2:7" x14ac:dyDescent="0.3">
      <c r="B231"/>
      <c r="G231"/>
    </row>
    <row r="232" spans="2:7" x14ac:dyDescent="0.3">
      <c r="B232"/>
      <c r="G232"/>
    </row>
    <row r="233" spans="2:7" x14ac:dyDescent="0.3">
      <c r="B233"/>
      <c r="G233"/>
    </row>
    <row r="234" spans="2:7" x14ac:dyDescent="0.3">
      <c r="B234"/>
      <c r="G234"/>
    </row>
    <row r="235" spans="2:7" x14ac:dyDescent="0.3">
      <c r="B235"/>
      <c r="G235"/>
    </row>
    <row r="236" spans="2:7" x14ac:dyDescent="0.3">
      <c r="B236"/>
      <c r="G236"/>
    </row>
    <row r="237" spans="2:7" x14ac:dyDescent="0.3">
      <c r="B237"/>
      <c r="G237"/>
    </row>
    <row r="238" spans="2:7" x14ac:dyDescent="0.3">
      <c r="B238"/>
      <c r="G238"/>
    </row>
    <row r="239" spans="2:7" x14ac:dyDescent="0.3">
      <c r="B239"/>
      <c r="G239"/>
    </row>
    <row r="240" spans="2:7" x14ac:dyDescent="0.3">
      <c r="B240"/>
      <c r="G240"/>
    </row>
    <row r="241" spans="2:7" x14ac:dyDescent="0.3">
      <c r="B241"/>
      <c r="G241"/>
    </row>
    <row r="242" spans="2:7" x14ac:dyDescent="0.3">
      <c r="B242"/>
      <c r="G242"/>
    </row>
    <row r="243" spans="2:7" x14ac:dyDescent="0.3">
      <c r="B243"/>
      <c r="G243"/>
    </row>
    <row r="244" spans="2:7" x14ac:dyDescent="0.3">
      <c r="B244"/>
      <c r="G244"/>
    </row>
    <row r="245" spans="2:7" x14ac:dyDescent="0.3">
      <c r="B245"/>
      <c r="G245"/>
    </row>
    <row r="246" spans="2:7" x14ac:dyDescent="0.3">
      <c r="B246"/>
      <c r="G246"/>
    </row>
    <row r="247" spans="2:7" x14ac:dyDescent="0.3">
      <c r="B247"/>
      <c r="G247"/>
    </row>
    <row r="248" spans="2:7" x14ac:dyDescent="0.3">
      <c r="B248"/>
      <c r="G248"/>
    </row>
    <row r="249" spans="2:7" x14ac:dyDescent="0.3">
      <c r="B249"/>
      <c r="G249"/>
    </row>
    <row r="250" spans="2:7" x14ac:dyDescent="0.3">
      <c r="B250"/>
      <c r="G250"/>
    </row>
    <row r="251" spans="2:7" x14ac:dyDescent="0.3">
      <c r="B251"/>
      <c r="G251"/>
    </row>
    <row r="252" spans="2:7" x14ac:dyDescent="0.3">
      <c r="B252"/>
      <c r="G252"/>
    </row>
    <row r="253" spans="2:7" x14ac:dyDescent="0.3">
      <c r="B253"/>
      <c r="G253"/>
    </row>
    <row r="254" spans="2:7" x14ac:dyDescent="0.3">
      <c r="B254"/>
      <c r="G254"/>
    </row>
    <row r="255" spans="2:7" x14ac:dyDescent="0.3">
      <c r="B255"/>
      <c r="G255"/>
    </row>
    <row r="256" spans="2:7" x14ac:dyDescent="0.3">
      <c r="B256"/>
      <c r="G256"/>
    </row>
    <row r="257" spans="2:7" x14ac:dyDescent="0.3">
      <c r="B257"/>
      <c r="G257"/>
    </row>
    <row r="258" spans="2:7" x14ac:dyDescent="0.3">
      <c r="B258"/>
      <c r="G258"/>
    </row>
    <row r="259" spans="2:7" x14ac:dyDescent="0.3">
      <c r="B259"/>
      <c r="G259"/>
    </row>
    <row r="260" spans="2:7" x14ac:dyDescent="0.3">
      <c r="B260"/>
      <c r="G260"/>
    </row>
    <row r="261" spans="2:7" x14ac:dyDescent="0.3">
      <c r="B261"/>
      <c r="G261"/>
    </row>
    <row r="262" spans="2:7" x14ac:dyDescent="0.3">
      <c r="B262"/>
      <c r="G262"/>
    </row>
    <row r="263" spans="2:7" x14ac:dyDescent="0.3">
      <c r="B263"/>
      <c r="G263"/>
    </row>
    <row r="264" spans="2:7" x14ac:dyDescent="0.3">
      <c r="B264"/>
      <c r="G264"/>
    </row>
    <row r="265" spans="2:7" x14ac:dyDescent="0.3">
      <c r="B265"/>
      <c r="G265"/>
    </row>
    <row r="266" spans="2:7" x14ac:dyDescent="0.3">
      <c r="B266"/>
      <c r="G266"/>
    </row>
    <row r="267" spans="2:7" x14ac:dyDescent="0.3">
      <c r="B267"/>
      <c r="G267"/>
    </row>
    <row r="268" spans="2:7" x14ac:dyDescent="0.3">
      <c r="B268"/>
      <c r="G268"/>
    </row>
    <row r="269" spans="2:7" x14ac:dyDescent="0.3">
      <c r="B269"/>
      <c r="G269"/>
    </row>
    <row r="270" spans="2:7" x14ac:dyDescent="0.3">
      <c r="B270"/>
      <c r="G270"/>
    </row>
    <row r="271" spans="2:7" x14ac:dyDescent="0.3">
      <c r="B271"/>
      <c r="G271"/>
    </row>
    <row r="272" spans="2:7" x14ac:dyDescent="0.3">
      <c r="B272"/>
      <c r="G272"/>
    </row>
    <row r="273" spans="2:7" x14ac:dyDescent="0.3">
      <c r="B273"/>
      <c r="G273"/>
    </row>
    <row r="274" spans="2:7" x14ac:dyDescent="0.3">
      <c r="B274"/>
      <c r="G274"/>
    </row>
    <row r="275" spans="2:7" x14ac:dyDescent="0.3">
      <c r="B275"/>
      <c r="G275"/>
    </row>
    <row r="276" spans="2:7" x14ac:dyDescent="0.3">
      <c r="B276"/>
      <c r="G276"/>
    </row>
    <row r="277" spans="2:7" x14ac:dyDescent="0.3">
      <c r="B277"/>
      <c r="G277"/>
    </row>
    <row r="278" spans="2:7" x14ac:dyDescent="0.3">
      <c r="B278"/>
      <c r="G278"/>
    </row>
    <row r="279" spans="2:7" x14ac:dyDescent="0.3">
      <c r="B279"/>
      <c r="G279"/>
    </row>
    <row r="280" spans="2:7" x14ac:dyDescent="0.3">
      <c r="B280"/>
      <c r="G280"/>
    </row>
    <row r="281" spans="2:7" x14ac:dyDescent="0.3">
      <c r="B281"/>
      <c r="G281"/>
    </row>
    <row r="282" spans="2:7" x14ac:dyDescent="0.3">
      <c r="B282"/>
      <c r="G282"/>
    </row>
    <row r="283" spans="2:7" x14ac:dyDescent="0.3">
      <c r="B283"/>
      <c r="G283"/>
    </row>
    <row r="284" spans="2:7" x14ac:dyDescent="0.3">
      <c r="B284"/>
      <c r="G284"/>
    </row>
    <row r="285" spans="2:7" x14ac:dyDescent="0.3">
      <c r="B285"/>
      <c r="G285"/>
    </row>
    <row r="286" spans="2:7" x14ac:dyDescent="0.3">
      <c r="B286"/>
      <c r="G286"/>
    </row>
    <row r="287" spans="2:7" x14ac:dyDescent="0.3">
      <c r="B287"/>
      <c r="G287"/>
    </row>
    <row r="288" spans="2:7" x14ac:dyDescent="0.3">
      <c r="B288"/>
      <c r="G288"/>
    </row>
    <row r="289" spans="2:7" x14ac:dyDescent="0.3">
      <c r="B289"/>
      <c r="G289"/>
    </row>
    <row r="290" spans="2:7" x14ac:dyDescent="0.3">
      <c r="B290"/>
      <c r="G290"/>
    </row>
    <row r="291" spans="2:7" x14ac:dyDescent="0.3">
      <c r="B291"/>
      <c r="G291"/>
    </row>
    <row r="292" spans="2:7" x14ac:dyDescent="0.3">
      <c r="B292"/>
      <c r="G292"/>
    </row>
    <row r="293" spans="2:7" x14ac:dyDescent="0.3">
      <c r="B293"/>
      <c r="G293"/>
    </row>
    <row r="294" spans="2:7" x14ac:dyDescent="0.3">
      <c r="B294"/>
      <c r="G294"/>
    </row>
    <row r="295" spans="2:7" x14ac:dyDescent="0.3">
      <c r="B295"/>
      <c r="G295"/>
    </row>
    <row r="296" spans="2:7" x14ac:dyDescent="0.3">
      <c r="B296"/>
      <c r="G296"/>
    </row>
    <row r="297" spans="2:7" x14ac:dyDescent="0.3">
      <c r="B297"/>
      <c r="G297"/>
    </row>
    <row r="298" spans="2:7" x14ac:dyDescent="0.3">
      <c r="B298"/>
      <c r="G298"/>
    </row>
    <row r="299" spans="2:7" x14ac:dyDescent="0.3">
      <c r="B299"/>
      <c r="G299"/>
    </row>
    <row r="300" spans="2:7" x14ac:dyDescent="0.3">
      <c r="B300"/>
      <c r="G300"/>
    </row>
    <row r="301" spans="2:7" x14ac:dyDescent="0.3">
      <c r="B301"/>
      <c r="G301"/>
    </row>
    <row r="302" spans="2:7" x14ac:dyDescent="0.3">
      <c r="B302"/>
      <c r="G302"/>
    </row>
    <row r="303" spans="2:7" x14ac:dyDescent="0.3">
      <c r="B303"/>
      <c r="G303"/>
    </row>
    <row r="304" spans="2:7" x14ac:dyDescent="0.3">
      <c r="B304"/>
      <c r="G304"/>
    </row>
    <row r="305" spans="2:7" x14ac:dyDescent="0.3">
      <c r="B305"/>
      <c r="G305"/>
    </row>
    <row r="306" spans="2:7" x14ac:dyDescent="0.3">
      <c r="B306"/>
      <c r="G306"/>
    </row>
    <row r="307" spans="2:7" x14ac:dyDescent="0.3">
      <c r="B307"/>
      <c r="G307"/>
    </row>
    <row r="308" spans="2:7" x14ac:dyDescent="0.3">
      <c r="B308"/>
      <c r="G308"/>
    </row>
    <row r="309" spans="2:7" x14ac:dyDescent="0.3">
      <c r="B309"/>
      <c r="G309"/>
    </row>
    <row r="310" spans="2:7" x14ac:dyDescent="0.3">
      <c r="B310"/>
      <c r="G310"/>
    </row>
    <row r="311" spans="2:7" x14ac:dyDescent="0.3">
      <c r="B311"/>
      <c r="G311"/>
    </row>
    <row r="312" spans="2:7" x14ac:dyDescent="0.3">
      <c r="B312"/>
      <c r="G312"/>
    </row>
    <row r="313" spans="2:7" x14ac:dyDescent="0.3">
      <c r="B313"/>
      <c r="G313"/>
    </row>
    <row r="314" spans="2:7" x14ac:dyDescent="0.3">
      <c r="B314"/>
      <c r="G314"/>
    </row>
    <row r="315" spans="2:7" x14ac:dyDescent="0.3">
      <c r="B315"/>
      <c r="G315"/>
    </row>
    <row r="316" spans="2:7" x14ac:dyDescent="0.3">
      <c r="B316"/>
      <c r="G316"/>
    </row>
    <row r="317" spans="2:7" x14ac:dyDescent="0.3">
      <c r="B317"/>
      <c r="G317"/>
    </row>
    <row r="318" spans="2:7" x14ac:dyDescent="0.3">
      <c r="B318"/>
      <c r="G318"/>
    </row>
    <row r="319" spans="2:7" x14ac:dyDescent="0.3">
      <c r="B319"/>
      <c r="G319"/>
    </row>
    <row r="320" spans="2:7" x14ac:dyDescent="0.3">
      <c r="B320"/>
      <c r="G320"/>
    </row>
    <row r="321" spans="2:7" x14ac:dyDescent="0.3">
      <c r="B321"/>
      <c r="G321"/>
    </row>
    <row r="322" spans="2:7" x14ac:dyDescent="0.3">
      <c r="B322"/>
      <c r="G322"/>
    </row>
    <row r="323" spans="2:7" x14ac:dyDescent="0.3">
      <c r="B323"/>
      <c r="G323"/>
    </row>
    <row r="324" spans="2:7" x14ac:dyDescent="0.3">
      <c r="B324"/>
      <c r="G324"/>
    </row>
    <row r="325" spans="2:7" x14ac:dyDescent="0.3">
      <c r="B325"/>
      <c r="G325"/>
    </row>
    <row r="326" spans="2:7" x14ac:dyDescent="0.3">
      <c r="B326"/>
      <c r="G326"/>
    </row>
    <row r="327" spans="2:7" x14ac:dyDescent="0.3">
      <c r="B327"/>
      <c r="G327"/>
    </row>
    <row r="328" spans="2:7" x14ac:dyDescent="0.3">
      <c r="B328"/>
      <c r="G328"/>
    </row>
    <row r="329" spans="2:7" x14ac:dyDescent="0.3">
      <c r="B329"/>
      <c r="G329"/>
    </row>
    <row r="330" spans="2:7" x14ac:dyDescent="0.3">
      <c r="B330"/>
      <c r="G330"/>
    </row>
    <row r="331" spans="2:7" x14ac:dyDescent="0.3">
      <c r="B331"/>
      <c r="G331"/>
    </row>
    <row r="332" spans="2:7" x14ac:dyDescent="0.3">
      <c r="B332"/>
      <c r="G332"/>
    </row>
    <row r="333" spans="2:7" x14ac:dyDescent="0.3">
      <c r="B333"/>
      <c r="G333"/>
    </row>
    <row r="334" spans="2:7" x14ac:dyDescent="0.3">
      <c r="B334"/>
      <c r="G334"/>
    </row>
    <row r="335" spans="2:7" x14ac:dyDescent="0.3">
      <c r="B335"/>
      <c r="G335"/>
    </row>
    <row r="336" spans="2:7" x14ac:dyDescent="0.3">
      <c r="B336"/>
      <c r="G336"/>
    </row>
    <row r="337" spans="2:7" x14ac:dyDescent="0.3">
      <c r="B337"/>
      <c r="G337"/>
    </row>
    <row r="338" spans="2:7" x14ac:dyDescent="0.3">
      <c r="B338"/>
      <c r="G338"/>
    </row>
    <row r="339" spans="2:7" x14ac:dyDescent="0.3">
      <c r="B339"/>
      <c r="G339"/>
    </row>
    <row r="340" spans="2:7" x14ac:dyDescent="0.3">
      <c r="B340"/>
      <c r="G340"/>
    </row>
    <row r="341" spans="2:7" x14ac:dyDescent="0.3">
      <c r="B341"/>
      <c r="G341"/>
    </row>
    <row r="342" spans="2:7" x14ac:dyDescent="0.3">
      <c r="B342"/>
      <c r="G342"/>
    </row>
    <row r="343" spans="2:7" x14ac:dyDescent="0.3">
      <c r="B343"/>
      <c r="G343"/>
    </row>
    <row r="344" spans="2:7" x14ac:dyDescent="0.3">
      <c r="B344"/>
      <c r="G344"/>
    </row>
    <row r="345" spans="2:7" x14ac:dyDescent="0.3">
      <c r="B345"/>
      <c r="G345"/>
    </row>
    <row r="346" spans="2:7" x14ac:dyDescent="0.3">
      <c r="B346"/>
      <c r="G346"/>
    </row>
    <row r="347" spans="2:7" x14ac:dyDescent="0.3">
      <c r="B347"/>
      <c r="G347"/>
    </row>
    <row r="348" spans="2:7" x14ac:dyDescent="0.3">
      <c r="B348"/>
      <c r="G348"/>
    </row>
    <row r="349" spans="2:7" x14ac:dyDescent="0.3">
      <c r="B349"/>
      <c r="G349"/>
    </row>
    <row r="350" spans="2:7" x14ac:dyDescent="0.3">
      <c r="B350"/>
      <c r="G350"/>
    </row>
    <row r="351" spans="2:7" x14ac:dyDescent="0.3">
      <c r="B351"/>
      <c r="G351"/>
    </row>
    <row r="352" spans="2:7" x14ac:dyDescent="0.3">
      <c r="B352"/>
      <c r="G352"/>
    </row>
    <row r="353" spans="2:7" x14ac:dyDescent="0.3">
      <c r="B353"/>
      <c r="G353"/>
    </row>
    <row r="354" spans="2:7" x14ac:dyDescent="0.3">
      <c r="B354"/>
      <c r="G354"/>
    </row>
    <row r="355" spans="2:7" x14ac:dyDescent="0.3">
      <c r="B355"/>
      <c r="G355"/>
    </row>
    <row r="356" spans="2:7" x14ac:dyDescent="0.3">
      <c r="B356"/>
      <c r="G356"/>
    </row>
    <row r="357" spans="2:7" x14ac:dyDescent="0.3">
      <c r="B357"/>
      <c r="G357"/>
    </row>
    <row r="358" spans="2:7" x14ac:dyDescent="0.3">
      <c r="B358"/>
      <c r="G358"/>
    </row>
    <row r="359" spans="2:7" x14ac:dyDescent="0.3">
      <c r="B359"/>
      <c r="G359"/>
    </row>
    <row r="360" spans="2:7" x14ac:dyDescent="0.3">
      <c r="B360"/>
      <c r="G360"/>
    </row>
    <row r="361" spans="2:7" x14ac:dyDescent="0.3">
      <c r="B361"/>
      <c r="G361"/>
    </row>
    <row r="362" spans="2:7" x14ac:dyDescent="0.3">
      <c r="B362"/>
      <c r="G362"/>
    </row>
    <row r="363" spans="2:7" x14ac:dyDescent="0.3">
      <c r="B363"/>
      <c r="G363"/>
    </row>
    <row r="364" spans="2:7" x14ac:dyDescent="0.3">
      <c r="B364"/>
      <c r="G364"/>
    </row>
    <row r="365" spans="2:7" x14ac:dyDescent="0.3">
      <c r="B365"/>
      <c r="G365"/>
    </row>
    <row r="366" spans="2:7" x14ac:dyDescent="0.3">
      <c r="B366"/>
      <c r="G366"/>
    </row>
    <row r="367" spans="2:7" x14ac:dyDescent="0.3">
      <c r="B367"/>
      <c r="G367"/>
    </row>
    <row r="368" spans="2:7" x14ac:dyDescent="0.3">
      <c r="B368"/>
      <c r="G368"/>
    </row>
    <row r="369" spans="2:7" x14ac:dyDescent="0.3">
      <c r="B369"/>
      <c r="G369"/>
    </row>
    <row r="370" spans="2:7" x14ac:dyDescent="0.3">
      <c r="B370"/>
      <c r="G370"/>
    </row>
    <row r="371" spans="2:7" x14ac:dyDescent="0.3">
      <c r="B371"/>
      <c r="G371"/>
    </row>
    <row r="372" spans="2:7" x14ac:dyDescent="0.3">
      <c r="B372"/>
      <c r="G372"/>
    </row>
    <row r="373" spans="2:7" x14ac:dyDescent="0.3">
      <c r="B373"/>
      <c r="G373"/>
    </row>
    <row r="374" spans="2:7" x14ac:dyDescent="0.3">
      <c r="B374"/>
      <c r="G374"/>
    </row>
    <row r="375" spans="2:7" x14ac:dyDescent="0.3">
      <c r="B375"/>
      <c r="G375"/>
    </row>
    <row r="376" spans="2:7" x14ac:dyDescent="0.3">
      <c r="B376"/>
      <c r="G376"/>
    </row>
    <row r="377" spans="2:7" x14ac:dyDescent="0.3">
      <c r="B377"/>
      <c r="G377"/>
    </row>
    <row r="378" spans="2:7" x14ac:dyDescent="0.3">
      <c r="B378"/>
      <c r="G378"/>
    </row>
    <row r="379" spans="2:7" x14ac:dyDescent="0.3">
      <c r="B379"/>
      <c r="G379"/>
    </row>
    <row r="380" spans="2:7" x14ac:dyDescent="0.3">
      <c r="B380"/>
      <c r="G380"/>
    </row>
    <row r="381" spans="2:7" x14ac:dyDescent="0.3">
      <c r="B381"/>
      <c r="G381"/>
    </row>
    <row r="382" spans="2:7" x14ac:dyDescent="0.3">
      <c r="B382"/>
      <c r="G382"/>
    </row>
    <row r="383" spans="2:7" x14ac:dyDescent="0.3">
      <c r="B383"/>
      <c r="G383"/>
    </row>
    <row r="384" spans="2:7" x14ac:dyDescent="0.3">
      <c r="B384"/>
      <c r="G384"/>
    </row>
    <row r="385" spans="2:7" x14ac:dyDescent="0.3">
      <c r="B385"/>
      <c r="G385"/>
    </row>
    <row r="386" spans="2:7" x14ac:dyDescent="0.3">
      <c r="B386"/>
      <c r="G386"/>
    </row>
    <row r="387" spans="2:7" x14ac:dyDescent="0.3">
      <c r="B387"/>
      <c r="G387"/>
    </row>
    <row r="388" spans="2:7" x14ac:dyDescent="0.3">
      <c r="B388"/>
      <c r="G388"/>
    </row>
    <row r="389" spans="2:7" x14ac:dyDescent="0.3">
      <c r="B389"/>
      <c r="G389"/>
    </row>
    <row r="390" spans="2:7" x14ac:dyDescent="0.3">
      <c r="B390"/>
      <c r="G390"/>
    </row>
    <row r="391" spans="2:7" x14ac:dyDescent="0.3">
      <c r="B391"/>
      <c r="G391"/>
    </row>
    <row r="392" spans="2:7" x14ac:dyDescent="0.3">
      <c r="B392"/>
      <c r="G392"/>
    </row>
    <row r="393" spans="2:7" x14ac:dyDescent="0.3">
      <c r="B393"/>
      <c r="G393"/>
    </row>
    <row r="394" spans="2:7" x14ac:dyDescent="0.3">
      <c r="B394"/>
      <c r="G394"/>
    </row>
    <row r="395" spans="2:7" x14ac:dyDescent="0.3">
      <c r="B395"/>
      <c r="G395"/>
    </row>
    <row r="396" spans="2:7" x14ac:dyDescent="0.3">
      <c r="B396"/>
      <c r="G396"/>
    </row>
    <row r="397" spans="2:7" x14ac:dyDescent="0.3">
      <c r="B397"/>
      <c r="G397"/>
    </row>
    <row r="398" spans="2:7" x14ac:dyDescent="0.3">
      <c r="B398"/>
      <c r="G398"/>
    </row>
    <row r="399" spans="2:7" x14ac:dyDescent="0.3">
      <c r="B399"/>
      <c r="G399"/>
    </row>
    <row r="400" spans="2:7" x14ac:dyDescent="0.3">
      <c r="B400"/>
      <c r="G400"/>
    </row>
    <row r="401" spans="2:7" x14ac:dyDescent="0.3">
      <c r="B401"/>
      <c r="G401"/>
    </row>
    <row r="402" spans="2:7" x14ac:dyDescent="0.3">
      <c r="B402"/>
      <c r="G402"/>
    </row>
    <row r="403" spans="2:7" x14ac:dyDescent="0.3">
      <c r="B403"/>
      <c r="G403"/>
    </row>
    <row r="404" spans="2:7" x14ac:dyDescent="0.3">
      <c r="B404"/>
      <c r="G404"/>
    </row>
    <row r="405" spans="2:7" x14ac:dyDescent="0.3">
      <c r="B405"/>
      <c r="G405"/>
    </row>
    <row r="406" spans="2:7" x14ac:dyDescent="0.3">
      <c r="B406"/>
      <c r="G406"/>
    </row>
    <row r="407" spans="2:7" x14ac:dyDescent="0.3">
      <c r="B407"/>
      <c r="G407"/>
    </row>
    <row r="408" spans="2:7" x14ac:dyDescent="0.3">
      <c r="B408"/>
      <c r="G408"/>
    </row>
    <row r="409" spans="2:7" x14ac:dyDescent="0.3">
      <c r="B409"/>
      <c r="G409"/>
    </row>
    <row r="410" spans="2:7" x14ac:dyDescent="0.3">
      <c r="B410"/>
      <c r="G410"/>
    </row>
    <row r="411" spans="2:7" x14ac:dyDescent="0.3">
      <c r="B411"/>
      <c r="G411"/>
    </row>
    <row r="412" spans="2:7" x14ac:dyDescent="0.3">
      <c r="B412"/>
      <c r="G412"/>
    </row>
    <row r="413" spans="2:7" x14ac:dyDescent="0.3">
      <c r="B413"/>
      <c r="G413"/>
    </row>
    <row r="414" spans="2:7" x14ac:dyDescent="0.3">
      <c r="B414"/>
      <c r="G414"/>
    </row>
    <row r="415" spans="2:7" x14ac:dyDescent="0.3">
      <c r="B415"/>
      <c r="G415"/>
    </row>
    <row r="416" spans="2:7" x14ac:dyDescent="0.3">
      <c r="B416"/>
      <c r="G416"/>
    </row>
    <row r="417" spans="2:7" x14ac:dyDescent="0.3">
      <c r="B417"/>
      <c r="G417"/>
    </row>
    <row r="418" spans="2:7" x14ac:dyDescent="0.3">
      <c r="B418"/>
      <c r="G418"/>
    </row>
    <row r="419" spans="2:7" x14ac:dyDescent="0.3">
      <c r="B419"/>
      <c r="G419"/>
    </row>
    <row r="420" spans="2:7" x14ac:dyDescent="0.3">
      <c r="B420"/>
      <c r="G420"/>
    </row>
    <row r="421" spans="2:7" x14ac:dyDescent="0.3">
      <c r="B421"/>
      <c r="G421"/>
    </row>
    <row r="422" spans="2:7" x14ac:dyDescent="0.3">
      <c r="B422"/>
      <c r="G422"/>
    </row>
    <row r="423" spans="2:7" x14ac:dyDescent="0.3">
      <c r="B423"/>
      <c r="G423"/>
    </row>
    <row r="424" spans="2:7" x14ac:dyDescent="0.3">
      <c r="B424"/>
      <c r="G424"/>
    </row>
    <row r="425" spans="2:7" x14ac:dyDescent="0.3">
      <c r="B425"/>
      <c r="G425"/>
    </row>
    <row r="426" spans="2:7" x14ac:dyDescent="0.3">
      <c r="B426"/>
      <c r="G426"/>
    </row>
    <row r="427" spans="2:7" x14ac:dyDescent="0.3">
      <c r="B427"/>
      <c r="G427"/>
    </row>
    <row r="428" spans="2:7" x14ac:dyDescent="0.3">
      <c r="B428"/>
      <c r="G428"/>
    </row>
    <row r="429" spans="2:7" x14ac:dyDescent="0.3">
      <c r="B429"/>
      <c r="G429"/>
    </row>
    <row r="430" spans="2:7" x14ac:dyDescent="0.3">
      <c r="B430"/>
      <c r="G430"/>
    </row>
    <row r="431" spans="2:7" x14ac:dyDescent="0.3">
      <c r="B431"/>
      <c r="G431"/>
    </row>
    <row r="432" spans="2:7" x14ac:dyDescent="0.3">
      <c r="B432"/>
      <c r="G432"/>
    </row>
    <row r="433" spans="2:7" x14ac:dyDescent="0.3">
      <c r="B433"/>
      <c r="G433"/>
    </row>
    <row r="434" spans="2:7" x14ac:dyDescent="0.3">
      <c r="B434"/>
      <c r="G434"/>
    </row>
    <row r="435" spans="2:7" x14ac:dyDescent="0.3">
      <c r="B435"/>
      <c r="G435"/>
    </row>
    <row r="436" spans="2:7" x14ac:dyDescent="0.3">
      <c r="B436"/>
      <c r="G436"/>
    </row>
    <row r="437" spans="2:7" x14ac:dyDescent="0.3">
      <c r="B437"/>
      <c r="G437"/>
    </row>
    <row r="438" spans="2:7" x14ac:dyDescent="0.3">
      <c r="B438"/>
      <c r="G438"/>
    </row>
    <row r="439" spans="2:7" x14ac:dyDescent="0.3">
      <c r="B439"/>
      <c r="G439"/>
    </row>
    <row r="440" spans="2:7" x14ac:dyDescent="0.3">
      <c r="B440"/>
      <c r="G440"/>
    </row>
    <row r="441" spans="2:7" x14ac:dyDescent="0.3">
      <c r="B441"/>
      <c r="G441"/>
    </row>
    <row r="442" spans="2:7" x14ac:dyDescent="0.3">
      <c r="B442"/>
      <c r="G442"/>
    </row>
    <row r="443" spans="2:7" x14ac:dyDescent="0.3">
      <c r="B443"/>
      <c r="G443"/>
    </row>
    <row r="444" spans="2:7" x14ac:dyDescent="0.3">
      <c r="B444"/>
      <c r="G444"/>
    </row>
    <row r="445" spans="2:7" x14ac:dyDescent="0.3">
      <c r="B445"/>
      <c r="G445"/>
    </row>
    <row r="446" spans="2:7" x14ac:dyDescent="0.3">
      <c r="B446"/>
      <c r="G446"/>
    </row>
    <row r="447" spans="2:7" x14ac:dyDescent="0.3">
      <c r="B447"/>
      <c r="G447"/>
    </row>
    <row r="448" spans="2:7" x14ac:dyDescent="0.3">
      <c r="B448"/>
      <c r="G448"/>
    </row>
    <row r="449" spans="2:7" x14ac:dyDescent="0.3">
      <c r="B449"/>
      <c r="G449"/>
    </row>
    <row r="450" spans="2:7" x14ac:dyDescent="0.3">
      <c r="B450"/>
      <c r="G450"/>
    </row>
    <row r="451" spans="2:7" x14ac:dyDescent="0.3">
      <c r="B451"/>
      <c r="G451"/>
    </row>
    <row r="452" spans="2:7" x14ac:dyDescent="0.3">
      <c r="B452"/>
      <c r="G452"/>
    </row>
    <row r="453" spans="2:7" x14ac:dyDescent="0.3">
      <c r="B453"/>
      <c r="G453"/>
    </row>
    <row r="454" spans="2:7" x14ac:dyDescent="0.3">
      <c r="B454"/>
      <c r="G454"/>
    </row>
    <row r="455" spans="2:7" x14ac:dyDescent="0.3">
      <c r="B455"/>
      <c r="G455"/>
    </row>
    <row r="456" spans="2:7" x14ac:dyDescent="0.3">
      <c r="B456"/>
      <c r="G456"/>
    </row>
    <row r="457" spans="2:7" x14ac:dyDescent="0.3">
      <c r="B457"/>
      <c r="G457"/>
    </row>
    <row r="458" spans="2:7" x14ac:dyDescent="0.3">
      <c r="B458"/>
      <c r="G458"/>
    </row>
    <row r="459" spans="2:7" x14ac:dyDescent="0.3">
      <c r="B459"/>
      <c r="G459"/>
    </row>
    <row r="460" spans="2:7" x14ac:dyDescent="0.3">
      <c r="B460"/>
      <c r="G460"/>
    </row>
    <row r="461" spans="2:7" x14ac:dyDescent="0.3">
      <c r="B461"/>
      <c r="G461"/>
    </row>
    <row r="462" spans="2:7" x14ac:dyDescent="0.3">
      <c r="B462"/>
      <c r="G462"/>
    </row>
    <row r="463" spans="2:7" x14ac:dyDescent="0.3">
      <c r="B463"/>
      <c r="G463"/>
    </row>
    <row r="464" spans="2:7" x14ac:dyDescent="0.3">
      <c r="B464"/>
      <c r="G464"/>
    </row>
    <row r="465" spans="2:7" x14ac:dyDescent="0.3">
      <c r="B465"/>
      <c r="G465"/>
    </row>
    <row r="466" spans="2:7" x14ac:dyDescent="0.3">
      <c r="B466"/>
      <c r="G466"/>
    </row>
    <row r="467" spans="2:7" x14ac:dyDescent="0.3">
      <c r="B467"/>
      <c r="G467"/>
    </row>
    <row r="468" spans="2:7" x14ac:dyDescent="0.3">
      <c r="B468"/>
      <c r="G468"/>
    </row>
    <row r="469" spans="2:7" x14ac:dyDescent="0.3">
      <c r="B469"/>
      <c r="G469"/>
    </row>
    <row r="470" spans="2:7" x14ac:dyDescent="0.3">
      <c r="B470"/>
      <c r="G470"/>
    </row>
    <row r="471" spans="2:7" x14ac:dyDescent="0.3">
      <c r="B471"/>
      <c r="G471"/>
    </row>
    <row r="472" spans="2:7" x14ac:dyDescent="0.3">
      <c r="B472"/>
      <c r="G472"/>
    </row>
    <row r="473" spans="2:7" x14ac:dyDescent="0.3">
      <c r="B473"/>
      <c r="G473"/>
    </row>
    <row r="474" spans="2:7" x14ac:dyDescent="0.3">
      <c r="B474"/>
      <c r="G474"/>
    </row>
    <row r="475" spans="2:7" x14ac:dyDescent="0.3">
      <c r="B475"/>
      <c r="G475"/>
    </row>
    <row r="476" spans="2:7" x14ac:dyDescent="0.3">
      <c r="B476"/>
      <c r="G476"/>
    </row>
    <row r="477" spans="2:7" x14ac:dyDescent="0.3">
      <c r="B477"/>
      <c r="G477"/>
    </row>
    <row r="478" spans="2:7" x14ac:dyDescent="0.3">
      <c r="B478"/>
      <c r="G478"/>
    </row>
    <row r="479" spans="2:7" x14ac:dyDescent="0.3">
      <c r="B479"/>
      <c r="G479"/>
    </row>
    <row r="480" spans="2:7" x14ac:dyDescent="0.3">
      <c r="B480"/>
      <c r="G480"/>
    </row>
    <row r="481" spans="2:7" x14ac:dyDescent="0.3">
      <c r="B481"/>
      <c r="G481"/>
    </row>
    <row r="482" spans="2:7" x14ac:dyDescent="0.3">
      <c r="B482"/>
      <c r="G482"/>
    </row>
    <row r="483" spans="2:7" x14ac:dyDescent="0.3">
      <c r="B483"/>
      <c r="G483"/>
    </row>
    <row r="484" spans="2:7" x14ac:dyDescent="0.3">
      <c r="B484"/>
      <c r="G484"/>
    </row>
    <row r="485" spans="2:7" x14ac:dyDescent="0.3">
      <c r="B485"/>
      <c r="G485"/>
    </row>
    <row r="486" spans="2:7" x14ac:dyDescent="0.3">
      <c r="B486"/>
      <c r="G486"/>
    </row>
    <row r="487" spans="2:7" x14ac:dyDescent="0.3">
      <c r="B487"/>
      <c r="G487"/>
    </row>
    <row r="488" spans="2:7" x14ac:dyDescent="0.3">
      <c r="B488"/>
      <c r="G488"/>
    </row>
    <row r="489" spans="2:7" x14ac:dyDescent="0.3">
      <c r="B489"/>
      <c r="G489"/>
    </row>
    <row r="490" spans="2:7" x14ac:dyDescent="0.3">
      <c r="B490"/>
      <c r="G490"/>
    </row>
    <row r="491" spans="2:7" x14ac:dyDescent="0.3">
      <c r="B491"/>
      <c r="G491"/>
    </row>
    <row r="492" spans="2:7" x14ac:dyDescent="0.3">
      <c r="B492"/>
      <c r="G492"/>
    </row>
    <row r="493" spans="2:7" x14ac:dyDescent="0.3">
      <c r="B493"/>
      <c r="G493"/>
    </row>
    <row r="494" spans="2:7" x14ac:dyDescent="0.3">
      <c r="B494"/>
      <c r="G494"/>
    </row>
    <row r="495" spans="2:7" x14ac:dyDescent="0.3">
      <c r="B495"/>
      <c r="G495"/>
    </row>
    <row r="496" spans="2:7" x14ac:dyDescent="0.3">
      <c r="B496"/>
      <c r="G496"/>
    </row>
    <row r="497" spans="2:7" x14ac:dyDescent="0.3">
      <c r="B497"/>
      <c r="G497"/>
    </row>
    <row r="498" spans="2:7" x14ac:dyDescent="0.3">
      <c r="B498"/>
      <c r="G498"/>
    </row>
    <row r="499" spans="2:7" x14ac:dyDescent="0.3">
      <c r="B499"/>
      <c r="G499"/>
    </row>
    <row r="500" spans="2:7" x14ac:dyDescent="0.3">
      <c r="B500"/>
      <c r="G500"/>
    </row>
    <row r="501" spans="2:7" x14ac:dyDescent="0.3">
      <c r="B501"/>
      <c r="G501"/>
    </row>
    <row r="502" spans="2:7" x14ac:dyDescent="0.3">
      <c r="B502"/>
      <c r="G502"/>
    </row>
    <row r="503" spans="2:7" x14ac:dyDescent="0.3">
      <c r="B503"/>
      <c r="G503"/>
    </row>
    <row r="504" spans="2:7" x14ac:dyDescent="0.3">
      <c r="B504"/>
      <c r="G504"/>
    </row>
    <row r="505" spans="2:7" x14ac:dyDescent="0.3">
      <c r="B505"/>
      <c r="G505"/>
    </row>
    <row r="506" spans="2:7" x14ac:dyDescent="0.3">
      <c r="B506"/>
      <c r="G506"/>
    </row>
    <row r="507" spans="2:7" x14ac:dyDescent="0.3">
      <c r="B507"/>
      <c r="G507"/>
    </row>
    <row r="508" spans="2:7" x14ac:dyDescent="0.3">
      <c r="B508"/>
      <c r="G508"/>
    </row>
    <row r="509" spans="2:7" x14ac:dyDescent="0.3">
      <c r="B509"/>
      <c r="G509"/>
    </row>
    <row r="510" spans="2:7" x14ac:dyDescent="0.3">
      <c r="B510"/>
      <c r="G510"/>
    </row>
    <row r="511" spans="2:7" x14ac:dyDescent="0.3">
      <c r="B511"/>
      <c r="G511"/>
    </row>
    <row r="512" spans="2:7" x14ac:dyDescent="0.3">
      <c r="B512"/>
      <c r="G512"/>
    </row>
    <row r="513" spans="2:7" x14ac:dyDescent="0.3">
      <c r="B513"/>
      <c r="G513"/>
    </row>
    <row r="514" spans="2:7" x14ac:dyDescent="0.3">
      <c r="B514"/>
      <c r="G514"/>
    </row>
    <row r="515" spans="2:7" x14ac:dyDescent="0.3">
      <c r="B515"/>
      <c r="G515"/>
    </row>
    <row r="516" spans="2:7" x14ac:dyDescent="0.3">
      <c r="B516"/>
      <c r="G516"/>
    </row>
    <row r="517" spans="2:7" x14ac:dyDescent="0.3">
      <c r="B517"/>
      <c r="G517"/>
    </row>
    <row r="518" spans="2:7" x14ac:dyDescent="0.3">
      <c r="B518"/>
      <c r="G518"/>
    </row>
    <row r="519" spans="2:7" x14ac:dyDescent="0.3">
      <c r="B519"/>
      <c r="G519"/>
    </row>
    <row r="520" spans="2:7" x14ac:dyDescent="0.3">
      <c r="B520"/>
      <c r="G520"/>
    </row>
    <row r="521" spans="2:7" x14ac:dyDescent="0.3">
      <c r="B521"/>
      <c r="G521"/>
    </row>
    <row r="522" spans="2:7" x14ac:dyDescent="0.3">
      <c r="B522"/>
      <c r="G522"/>
    </row>
    <row r="523" spans="2:7" x14ac:dyDescent="0.3">
      <c r="B523"/>
      <c r="G523"/>
    </row>
    <row r="524" spans="2:7" x14ac:dyDescent="0.3">
      <c r="B524"/>
      <c r="G524"/>
    </row>
    <row r="525" spans="2:7" x14ac:dyDescent="0.3">
      <c r="B525"/>
      <c r="G525"/>
    </row>
    <row r="526" spans="2:7" x14ac:dyDescent="0.3">
      <c r="B526"/>
      <c r="G526"/>
    </row>
    <row r="527" spans="2:7" x14ac:dyDescent="0.3">
      <c r="B527"/>
      <c r="G527"/>
    </row>
    <row r="528" spans="2:7" x14ac:dyDescent="0.3">
      <c r="B528"/>
      <c r="G528"/>
    </row>
    <row r="529" spans="2:7" x14ac:dyDescent="0.3">
      <c r="B529"/>
      <c r="G529"/>
    </row>
    <row r="530" spans="2:7" x14ac:dyDescent="0.3">
      <c r="B530"/>
      <c r="G530"/>
    </row>
    <row r="531" spans="2:7" x14ac:dyDescent="0.3">
      <c r="B531"/>
      <c r="G531"/>
    </row>
    <row r="532" spans="2:7" x14ac:dyDescent="0.3">
      <c r="B532"/>
      <c r="G532"/>
    </row>
    <row r="533" spans="2:7" x14ac:dyDescent="0.3">
      <c r="B533"/>
      <c r="G533"/>
    </row>
    <row r="534" spans="2:7" x14ac:dyDescent="0.3">
      <c r="B534"/>
      <c r="G534"/>
    </row>
    <row r="535" spans="2:7" x14ac:dyDescent="0.3">
      <c r="B535"/>
      <c r="G535"/>
    </row>
    <row r="536" spans="2:7" x14ac:dyDescent="0.3">
      <c r="B536"/>
      <c r="G536"/>
    </row>
    <row r="537" spans="2:7" x14ac:dyDescent="0.3">
      <c r="B537"/>
      <c r="G537"/>
    </row>
    <row r="538" spans="2:7" x14ac:dyDescent="0.3">
      <c r="B538"/>
      <c r="G538"/>
    </row>
    <row r="539" spans="2:7" x14ac:dyDescent="0.3">
      <c r="B539"/>
      <c r="G539"/>
    </row>
    <row r="540" spans="2:7" x14ac:dyDescent="0.3">
      <c r="B540"/>
      <c r="G540"/>
    </row>
    <row r="541" spans="2:7" x14ac:dyDescent="0.3">
      <c r="B541"/>
      <c r="G541"/>
    </row>
    <row r="542" spans="2:7" x14ac:dyDescent="0.3">
      <c r="B542"/>
      <c r="G542"/>
    </row>
    <row r="543" spans="2:7" x14ac:dyDescent="0.3">
      <c r="B543"/>
      <c r="G543"/>
    </row>
    <row r="544" spans="2:7" x14ac:dyDescent="0.3">
      <c r="B544"/>
      <c r="G544"/>
    </row>
    <row r="545" spans="2:7" x14ac:dyDescent="0.3">
      <c r="B545"/>
      <c r="G545"/>
    </row>
    <row r="546" spans="2:7" x14ac:dyDescent="0.3">
      <c r="B546"/>
      <c r="G546"/>
    </row>
    <row r="547" spans="2:7" x14ac:dyDescent="0.3">
      <c r="B547"/>
      <c r="G547"/>
    </row>
    <row r="548" spans="2:7" x14ac:dyDescent="0.3">
      <c r="B548"/>
      <c r="G548"/>
    </row>
    <row r="549" spans="2:7" x14ac:dyDescent="0.3">
      <c r="B549"/>
      <c r="G549"/>
    </row>
    <row r="550" spans="2:7" x14ac:dyDescent="0.3">
      <c r="B550"/>
      <c r="G550"/>
    </row>
    <row r="551" spans="2:7" x14ac:dyDescent="0.3">
      <c r="B551"/>
      <c r="G551"/>
    </row>
    <row r="552" spans="2:7" x14ac:dyDescent="0.3">
      <c r="B552"/>
      <c r="G552"/>
    </row>
    <row r="553" spans="2:7" x14ac:dyDescent="0.3">
      <c r="B553"/>
      <c r="G553"/>
    </row>
    <row r="554" spans="2:7" x14ac:dyDescent="0.3">
      <c r="B554"/>
      <c r="G554"/>
    </row>
    <row r="555" spans="2:7" x14ac:dyDescent="0.3">
      <c r="B555"/>
      <c r="G555"/>
    </row>
    <row r="556" spans="2:7" x14ac:dyDescent="0.3">
      <c r="B556"/>
      <c r="G556"/>
    </row>
    <row r="557" spans="2:7" x14ac:dyDescent="0.3">
      <c r="B557"/>
      <c r="G557"/>
    </row>
    <row r="558" spans="2:7" x14ac:dyDescent="0.3">
      <c r="B558"/>
      <c r="G558"/>
    </row>
    <row r="559" spans="2:7" x14ac:dyDescent="0.3">
      <c r="B559"/>
      <c r="G559"/>
    </row>
    <row r="560" spans="2:7" x14ac:dyDescent="0.3">
      <c r="B560"/>
      <c r="G560"/>
    </row>
    <row r="561" spans="2:7" x14ac:dyDescent="0.3">
      <c r="B561"/>
      <c r="G561"/>
    </row>
    <row r="562" spans="2:7" x14ac:dyDescent="0.3">
      <c r="B562"/>
      <c r="G562"/>
    </row>
    <row r="563" spans="2:7" x14ac:dyDescent="0.3">
      <c r="B563"/>
      <c r="G563"/>
    </row>
    <row r="564" spans="2:7" x14ac:dyDescent="0.3">
      <c r="B564"/>
      <c r="G564"/>
    </row>
    <row r="565" spans="2:7" x14ac:dyDescent="0.3">
      <c r="B565"/>
      <c r="G565"/>
    </row>
    <row r="566" spans="2:7" x14ac:dyDescent="0.3">
      <c r="B566"/>
      <c r="G566"/>
    </row>
    <row r="567" spans="2:7" x14ac:dyDescent="0.3">
      <c r="B567"/>
      <c r="G567"/>
    </row>
    <row r="568" spans="2:7" x14ac:dyDescent="0.3">
      <c r="B568"/>
      <c r="G568"/>
    </row>
    <row r="569" spans="2:7" x14ac:dyDescent="0.3">
      <c r="B569"/>
      <c r="G569"/>
    </row>
    <row r="570" spans="2:7" x14ac:dyDescent="0.3">
      <c r="B570"/>
      <c r="G570"/>
    </row>
    <row r="571" spans="2:7" x14ac:dyDescent="0.3">
      <c r="B571"/>
      <c r="G571"/>
    </row>
    <row r="572" spans="2:7" x14ac:dyDescent="0.3">
      <c r="B572"/>
      <c r="G572"/>
    </row>
    <row r="573" spans="2:7" x14ac:dyDescent="0.3">
      <c r="B573"/>
      <c r="G573"/>
    </row>
    <row r="574" spans="2:7" x14ac:dyDescent="0.3">
      <c r="B574"/>
      <c r="G574"/>
    </row>
    <row r="575" spans="2:7" x14ac:dyDescent="0.3">
      <c r="B575"/>
      <c r="G575"/>
    </row>
    <row r="576" spans="2:7" x14ac:dyDescent="0.3">
      <c r="B576"/>
      <c r="G576"/>
    </row>
    <row r="577" spans="2:7" x14ac:dyDescent="0.3">
      <c r="B577"/>
      <c r="G577"/>
    </row>
    <row r="578" spans="2:7" x14ac:dyDescent="0.3">
      <c r="B578"/>
      <c r="G578"/>
    </row>
    <row r="579" spans="2:7" x14ac:dyDescent="0.3">
      <c r="B579"/>
      <c r="G579"/>
    </row>
    <row r="580" spans="2:7" x14ac:dyDescent="0.3">
      <c r="B580"/>
      <c r="G580"/>
    </row>
    <row r="581" spans="2:7" x14ac:dyDescent="0.3">
      <c r="B581"/>
      <c r="G581"/>
    </row>
    <row r="582" spans="2:7" x14ac:dyDescent="0.3">
      <c r="B582"/>
      <c r="G582"/>
    </row>
    <row r="583" spans="2:7" x14ac:dyDescent="0.3">
      <c r="B583"/>
      <c r="G583"/>
    </row>
    <row r="584" spans="2:7" x14ac:dyDescent="0.3">
      <c r="B584"/>
      <c r="G584"/>
    </row>
    <row r="585" spans="2:7" x14ac:dyDescent="0.3">
      <c r="B585"/>
      <c r="G585"/>
    </row>
    <row r="586" spans="2:7" x14ac:dyDescent="0.3">
      <c r="B586"/>
      <c r="G586"/>
    </row>
    <row r="587" spans="2:7" x14ac:dyDescent="0.3">
      <c r="B587"/>
      <c r="G587"/>
    </row>
    <row r="588" spans="2:7" x14ac:dyDescent="0.3">
      <c r="B588"/>
      <c r="G588"/>
    </row>
    <row r="589" spans="2:7" x14ac:dyDescent="0.3">
      <c r="B589"/>
      <c r="G589"/>
    </row>
    <row r="590" spans="2:7" x14ac:dyDescent="0.3">
      <c r="B590"/>
      <c r="G590"/>
    </row>
    <row r="591" spans="2:7" x14ac:dyDescent="0.3">
      <c r="B591"/>
      <c r="G591"/>
    </row>
    <row r="592" spans="2:7" x14ac:dyDescent="0.3">
      <c r="B592"/>
      <c r="G592"/>
    </row>
    <row r="593" spans="2:7" x14ac:dyDescent="0.3">
      <c r="B593"/>
      <c r="G593"/>
    </row>
    <row r="594" spans="2:7" x14ac:dyDescent="0.3">
      <c r="B594"/>
      <c r="G594"/>
    </row>
    <row r="595" spans="2:7" x14ac:dyDescent="0.3">
      <c r="B595"/>
      <c r="G595"/>
    </row>
    <row r="596" spans="2:7" x14ac:dyDescent="0.3">
      <c r="B596"/>
      <c r="G596"/>
    </row>
    <row r="597" spans="2:7" x14ac:dyDescent="0.3">
      <c r="B597"/>
      <c r="G597"/>
    </row>
    <row r="598" spans="2:7" x14ac:dyDescent="0.3">
      <c r="B598"/>
      <c r="G598"/>
    </row>
    <row r="599" spans="2:7" x14ac:dyDescent="0.3">
      <c r="B599"/>
      <c r="G599"/>
    </row>
    <row r="600" spans="2:7" x14ac:dyDescent="0.3">
      <c r="B600"/>
      <c r="G600"/>
    </row>
    <row r="601" spans="2:7" x14ac:dyDescent="0.3">
      <c r="B601"/>
      <c r="G601"/>
    </row>
    <row r="602" spans="2:7" x14ac:dyDescent="0.3">
      <c r="B602"/>
      <c r="G602"/>
    </row>
    <row r="603" spans="2:7" x14ac:dyDescent="0.3">
      <c r="B603"/>
      <c r="G603"/>
    </row>
    <row r="604" spans="2:7" x14ac:dyDescent="0.3">
      <c r="B604"/>
      <c r="G604"/>
    </row>
    <row r="605" spans="2:7" x14ac:dyDescent="0.3">
      <c r="B605"/>
      <c r="G605"/>
    </row>
    <row r="606" spans="2:7" x14ac:dyDescent="0.3">
      <c r="B606"/>
      <c r="G606"/>
    </row>
    <row r="607" spans="2:7" x14ac:dyDescent="0.3">
      <c r="B607"/>
      <c r="G607"/>
    </row>
    <row r="608" spans="2:7" x14ac:dyDescent="0.3">
      <c r="B608"/>
      <c r="G608"/>
    </row>
    <row r="609" spans="2:7" x14ac:dyDescent="0.3">
      <c r="B609"/>
      <c r="G609"/>
    </row>
    <row r="610" spans="2:7" x14ac:dyDescent="0.3">
      <c r="B610"/>
      <c r="G610"/>
    </row>
    <row r="611" spans="2:7" x14ac:dyDescent="0.3">
      <c r="B611"/>
      <c r="G611"/>
    </row>
    <row r="612" spans="2:7" x14ac:dyDescent="0.3">
      <c r="B612"/>
      <c r="G612"/>
    </row>
    <row r="613" spans="2:7" x14ac:dyDescent="0.3">
      <c r="B613"/>
      <c r="G613"/>
    </row>
    <row r="614" spans="2:7" x14ac:dyDescent="0.3">
      <c r="B614"/>
      <c r="G614"/>
    </row>
    <row r="615" spans="2:7" x14ac:dyDescent="0.3">
      <c r="B615"/>
      <c r="G615"/>
    </row>
    <row r="616" spans="2:7" x14ac:dyDescent="0.3">
      <c r="B616"/>
      <c r="G616"/>
    </row>
    <row r="617" spans="2:7" x14ac:dyDescent="0.3">
      <c r="B617"/>
      <c r="G617"/>
    </row>
    <row r="618" spans="2:7" x14ac:dyDescent="0.3">
      <c r="B618"/>
      <c r="G618"/>
    </row>
    <row r="619" spans="2:7" x14ac:dyDescent="0.3">
      <c r="B619"/>
      <c r="G619"/>
    </row>
    <row r="620" spans="2:7" x14ac:dyDescent="0.3">
      <c r="B620"/>
      <c r="G620"/>
    </row>
    <row r="621" spans="2:7" x14ac:dyDescent="0.3">
      <c r="B621"/>
      <c r="G621"/>
    </row>
    <row r="622" spans="2:7" x14ac:dyDescent="0.3">
      <c r="B622"/>
      <c r="G622"/>
    </row>
    <row r="623" spans="2:7" x14ac:dyDescent="0.3">
      <c r="B623"/>
      <c r="G623"/>
    </row>
    <row r="624" spans="2:7" x14ac:dyDescent="0.3">
      <c r="B624"/>
      <c r="G624"/>
    </row>
    <row r="625" spans="2:7" x14ac:dyDescent="0.3">
      <c r="B625"/>
      <c r="G625"/>
    </row>
    <row r="626" spans="2:7" x14ac:dyDescent="0.3">
      <c r="B626"/>
      <c r="G626"/>
    </row>
    <row r="627" spans="2:7" x14ac:dyDescent="0.3">
      <c r="B627"/>
      <c r="G627"/>
    </row>
    <row r="628" spans="2:7" x14ac:dyDescent="0.3">
      <c r="B628"/>
      <c r="G628"/>
    </row>
    <row r="629" spans="2:7" x14ac:dyDescent="0.3">
      <c r="B629"/>
      <c r="G629"/>
    </row>
    <row r="630" spans="2:7" x14ac:dyDescent="0.3">
      <c r="B630"/>
      <c r="G630"/>
    </row>
    <row r="631" spans="2:7" x14ac:dyDescent="0.3">
      <c r="B631"/>
      <c r="G631"/>
    </row>
    <row r="632" spans="2:7" x14ac:dyDescent="0.3">
      <c r="B632"/>
      <c r="G632"/>
    </row>
    <row r="633" spans="2:7" x14ac:dyDescent="0.3">
      <c r="B633"/>
      <c r="G633"/>
    </row>
    <row r="634" spans="2:7" x14ac:dyDescent="0.3">
      <c r="B634"/>
      <c r="G634"/>
    </row>
    <row r="635" spans="2:7" x14ac:dyDescent="0.3">
      <c r="B635"/>
      <c r="G635"/>
    </row>
    <row r="636" spans="2:7" x14ac:dyDescent="0.3">
      <c r="B636"/>
      <c r="G636"/>
    </row>
    <row r="637" spans="2:7" x14ac:dyDescent="0.3">
      <c r="B637"/>
      <c r="G637"/>
    </row>
    <row r="638" spans="2:7" x14ac:dyDescent="0.3">
      <c r="B638"/>
      <c r="G638"/>
    </row>
    <row r="639" spans="2:7" x14ac:dyDescent="0.3">
      <c r="B639"/>
      <c r="G639"/>
    </row>
    <row r="640" spans="2:7" x14ac:dyDescent="0.3">
      <c r="B640"/>
      <c r="G640"/>
    </row>
    <row r="641" spans="2:7" x14ac:dyDescent="0.3">
      <c r="B641"/>
      <c r="G641"/>
    </row>
    <row r="642" spans="2:7" x14ac:dyDescent="0.3">
      <c r="B642"/>
      <c r="G642"/>
    </row>
    <row r="643" spans="2:7" x14ac:dyDescent="0.3">
      <c r="B643"/>
      <c r="G643"/>
    </row>
    <row r="644" spans="2:7" x14ac:dyDescent="0.3">
      <c r="B644"/>
      <c r="G644"/>
    </row>
    <row r="645" spans="2:7" x14ac:dyDescent="0.3">
      <c r="B645"/>
      <c r="G645"/>
    </row>
    <row r="646" spans="2:7" x14ac:dyDescent="0.3">
      <c r="B646"/>
      <c r="G646"/>
    </row>
    <row r="647" spans="2:7" x14ac:dyDescent="0.3">
      <c r="B647"/>
      <c r="G647"/>
    </row>
    <row r="648" spans="2:7" x14ac:dyDescent="0.3">
      <c r="B648"/>
      <c r="G648"/>
    </row>
    <row r="649" spans="2:7" x14ac:dyDescent="0.3">
      <c r="B649"/>
      <c r="G649"/>
    </row>
    <row r="650" spans="2:7" x14ac:dyDescent="0.3">
      <c r="B650"/>
      <c r="G650"/>
    </row>
    <row r="651" spans="2:7" x14ac:dyDescent="0.3">
      <c r="B651"/>
      <c r="G651"/>
    </row>
    <row r="652" spans="2:7" x14ac:dyDescent="0.3">
      <c r="B652"/>
      <c r="G652"/>
    </row>
    <row r="653" spans="2:7" x14ac:dyDescent="0.3">
      <c r="B653"/>
      <c r="G653"/>
    </row>
    <row r="654" spans="2:7" x14ac:dyDescent="0.3">
      <c r="B654"/>
      <c r="G654"/>
    </row>
    <row r="655" spans="2:7" x14ac:dyDescent="0.3">
      <c r="B655"/>
      <c r="G655"/>
    </row>
    <row r="656" spans="2:7" x14ac:dyDescent="0.3">
      <c r="B656"/>
      <c r="G656"/>
    </row>
    <row r="657" spans="2:7" x14ac:dyDescent="0.3">
      <c r="B657"/>
      <c r="G657"/>
    </row>
    <row r="658" spans="2:7" x14ac:dyDescent="0.3">
      <c r="B658"/>
      <c r="G658"/>
    </row>
    <row r="659" spans="2:7" x14ac:dyDescent="0.3">
      <c r="B659"/>
      <c r="G659"/>
    </row>
    <row r="660" spans="2:7" x14ac:dyDescent="0.3">
      <c r="B660"/>
      <c r="G660"/>
    </row>
    <row r="661" spans="2:7" x14ac:dyDescent="0.3">
      <c r="B661"/>
      <c r="G661"/>
    </row>
    <row r="662" spans="2:7" x14ac:dyDescent="0.3">
      <c r="B662"/>
      <c r="G662"/>
    </row>
    <row r="663" spans="2:7" x14ac:dyDescent="0.3">
      <c r="B663"/>
      <c r="G663"/>
    </row>
    <row r="664" spans="2:7" x14ac:dyDescent="0.3">
      <c r="B664"/>
      <c r="G664"/>
    </row>
    <row r="665" spans="2:7" x14ac:dyDescent="0.3">
      <c r="B665"/>
      <c r="G665"/>
    </row>
    <row r="666" spans="2:7" x14ac:dyDescent="0.3">
      <c r="B666"/>
      <c r="G666"/>
    </row>
    <row r="667" spans="2:7" x14ac:dyDescent="0.3">
      <c r="B667"/>
      <c r="G667"/>
    </row>
    <row r="668" spans="2:7" x14ac:dyDescent="0.3">
      <c r="B668"/>
      <c r="G668"/>
    </row>
    <row r="669" spans="2:7" x14ac:dyDescent="0.3">
      <c r="B669"/>
      <c r="G669"/>
    </row>
    <row r="670" spans="2:7" x14ac:dyDescent="0.3">
      <c r="B670"/>
      <c r="G670"/>
    </row>
    <row r="671" spans="2:7" x14ac:dyDescent="0.3">
      <c r="B671"/>
      <c r="G671"/>
    </row>
    <row r="672" spans="2:7" x14ac:dyDescent="0.3">
      <c r="B672"/>
      <c r="G672"/>
    </row>
    <row r="673" spans="2:7" x14ac:dyDescent="0.3">
      <c r="B673"/>
      <c r="G673"/>
    </row>
    <row r="674" spans="2:7" x14ac:dyDescent="0.3">
      <c r="B674"/>
      <c r="G674"/>
    </row>
    <row r="675" spans="2:7" x14ac:dyDescent="0.3">
      <c r="B675"/>
      <c r="G675"/>
    </row>
    <row r="676" spans="2:7" x14ac:dyDescent="0.3">
      <c r="B676"/>
      <c r="G676"/>
    </row>
    <row r="677" spans="2:7" x14ac:dyDescent="0.3">
      <c r="B677"/>
      <c r="G677"/>
    </row>
    <row r="678" spans="2:7" x14ac:dyDescent="0.3">
      <c r="B678"/>
      <c r="G678"/>
    </row>
    <row r="679" spans="2:7" x14ac:dyDescent="0.3">
      <c r="B679"/>
      <c r="G679"/>
    </row>
    <row r="680" spans="2:7" x14ac:dyDescent="0.3">
      <c r="B680"/>
      <c r="G680"/>
    </row>
    <row r="681" spans="2:7" x14ac:dyDescent="0.3">
      <c r="B681"/>
      <c r="G681"/>
    </row>
    <row r="682" spans="2:7" x14ac:dyDescent="0.3">
      <c r="B682"/>
      <c r="G682"/>
    </row>
    <row r="683" spans="2:7" x14ac:dyDescent="0.3">
      <c r="B683"/>
      <c r="G683"/>
    </row>
    <row r="684" spans="2:7" x14ac:dyDescent="0.3">
      <c r="B684"/>
      <c r="G684"/>
    </row>
    <row r="685" spans="2:7" x14ac:dyDescent="0.3">
      <c r="B685"/>
      <c r="G685"/>
    </row>
    <row r="686" spans="2:7" x14ac:dyDescent="0.3">
      <c r="B686"/>
      <c r="G686"/>
    </row>
    <row r="687" spans="2:7" x14ac:dyDescent="0.3">
      <c r="B687"/>
      <c r="G687"/>
    </row>
    <row r="688" spans="2:7" x14ac:dyDescent="0.3">
      <c r="B688"/>
      <c r="G688"/>
    </row>
    <row r="689" spans="2:7" x14ac:dyDescent="0.3">
      <c r="B689"/>
      <c r="G689"/>
    </row>
    <row r="690" spans="2:7" x14ac:dyDescent="0.3">
      <c r="B690"/>
      <c r="G690"/>
    </row>
    <row r="691" spans="2:7" x14ac:dyDescent="0.3">
      <c r="B691"/>
      <c r="G691"/>
    </row>
    <row r="692" spans="2:7" x14ac:dyDescent="0.3">
      <c r="B692"/>
      <c r="G692"/>
    </row>
    <row r="693" spans="2:7" x14ac:dyDescent="0.3">
      <c r="B693"/>
      <c r="G693"/>
    </row>
    <row r="694" spans="2:7" x14ac:dyDescent="0.3">
      <c r="B694"/>
      <c r="G694"/>
    </row>
    <row r="695" spans="2:7" x14ac:dyDescent="0.3">
      <c r="B695"/>
      <c r="G695"/>
    </row>
    <row r="696" spans="2:7" x14ac:dyDescent="0.3">
      <c r="B696"/>
      <c r="G696"/>
    </row>
    <row r="697" spans="2:7" x14ac:dyDescent="0.3">
      <c r="B697"/>
      <c r="G697"/>
    </row>
    <row r="698" spans="2:7" x14ac:dyDescent="0.3">
      <c r="B698"/>
      <c r="G698"/>
    </row>
    <row r="699" spans="2:7" x14ac:dyDescent="0.3">
      <c r="B699"/>
      <c r="G699"/>
    </row>
    <row r="700" spans="2:7" x14ac:dyDescent="0.3">
      <c r="B700"/>
      <c r="G700"/>
    </row>
    <row r="701" spans="2:7" x14ac:dyDescent="0.3">
      <c r="B701"/>
      <c r="G701"/>
    </row>
    <row r="702" spans="2:7" x14ac:dyDescent="0.3">
      <c r="B702"/>
      <c r="G702"/>
    </row>
    <row r="703" spans="2:7" x14ac:dyDescent="0.3">
      <c r="B703"/>
      <c r="G703"/>
    </row>
    <row r="704" spans="2:7" x14ac:dyDescent="0.3">
      <c r="B704"/>
      <c r="G704"/>
    </row>
    <row r="705" spans="2:7" x14ac:dyDescent="0.3">
      <c r="B705"/>
      <c r="G705"/>
    </row>
    <row r="706" spans="2:7" x14ac:dyDescent="0.3">
      <c r="B706"/>
      <c r="G706"/>
    </row>
    <row r="707" spans="2:7" x14ac:dyDescent="0.3">
      <c r="B707"/>
      <c r="G707"/>
    </row>
    <row r="708" spans="2:7" x14ac:dyDescent="0.3">
      <c r="B708"/>
      <c r="G708"/>
    </row>
    <row r="709" spans="2:7" x14ac:dyDescent="0.3">
      <c r="B709"/>
      <c r="G709"/>
    </row>
    <row r="710" spans="2:7" x14ac:dyDescent="0.3">
      <c r="B710"/>
      <c r="G710"/>
    </row>
    <row r="711" spans="2:7" x14ac:dyDescent="0.3">
      <c r="B711"/>
      <c r="G711"/>
    </row>
    <row r="712" spans="2:7" x14ac:dyDescent="0.3">
      <c r="B712"/>
      <c r="G712"/>
    </row>
    <row r="713" spans="2:7" x14ac:dyDescent="0.3">
      <c r="B713"/>
      <c r="G713"/>
    </row>
    <row r="714" spans="2:7" x14ac:dyDescent="0.3">
      <c r="B714"/>
      <c r="G714"/>
    </row>
    <row r="715" spans="2:7" x14ac:dyDescent="0.3">
      <c r="B715"/>
      <c r="G715"/>
    </row>
    <row r="716" spans="2:7" x14ac:dyDescent="0.3">
      <c r="B716"/>
      <c r="G716"/>
    </row>
    <row r="717" spans="2:7" x14ac:dyDescent="0.3">
      <c r="B717"/>
      <c r="G717"/>
    </row>
    <row r="718" spans="2:7" x14ac:dyDescent="0.3">
      <c r="B718"/>
      <c r="G718"/>
    </row>
    <row r="719" spans="2:7" x14ac:dyDescent="0.3">
      <c r="B719"/>
      <c r="G719"/>
    </row>
    <row r="720" spans="2:7" x14ac:dyDescent="0.3">
      <c r="B720"/>
      <c r="G720"/>
    </row>
    <row r="721" spans="2:7" x14ac:dyDescent="0.3">
      <c r="B721"/>
      <c r="G721"/>
    </row>
    <row r="722" spans="2:7" x14ac:dyDescent="0.3">
      <c r="B722"/>
      <c r="G722"/>
    </row>
    <row r="723" spans="2:7" x14ac:dyDescent="0.3">
      <c r="B723"/>
      <c r="G723"/>
    </row>
    <row r="724" spans="2:7" x14ac:dyDescent="0.3">
      <c r="B724"/>
      <c r="G724"/>
    </row>
    <row r="725" spans="2:7" x14ac:dyDescent="0.3">
      <c r="B725"/>
      <c r="G725"/>
    </row>
    <row r="726" spans="2:7" x14ac:dyDescent="0.3">
      <c r="B726"/>
      <c r="G726"/>
    </row>
    <row r="727" spans="2:7" x14ac:dyDescent="0.3">
      <c r="B727"/>
      <c r="G727"/>
    </row>
    <row r="728" spans="2:7" x14ac:dyDescent="0.3">
      <c r="B728"/>
      <c r="G728"/>
    </row>
    <row r="729" spans="2:7" x14ac:dyDescent="0.3">
      <c r="B729"/>
      <c r="G729"/>
    </row>
    <row r="730" spans="2:7" x14ac:dyDescent="0.3">
      <c r="B730"/>
      <c r="G730"/>
    </row>
    <row r="731" spans="2:7" x14ac:dyDescent="0.3">
      <c r="B731"/>
      <c r="G731"/>
    </row>
    <row r="732" spans="2:7" x14ac:dyDescent="0.3">
      <c r="B732"/>
      <c r="G732"/>
    </row>
    <row r="733" spans="2:7" x14ac:dyDescent="0.3">
      <c r="B733"/>
      <c r="G733"/>
    </row>
    <row r="734" spans="2:7" x14ac:dyDescent="0.3">
      <c r="B734"/>
      <c r="G734"/>
    </row>
    <row r="735" spans="2:7" x14ac:dyDescent="0.3">
      <c r="B735"/>
      <c r="G735"/>
    </row>
    <row r="736" spans="2:7" x14ac:dyDescent="0.3">
      <c r="B736"/>
      <c r="G736"/>
    </row>
    <row r="737" spans="2:7" x14ac:dyDescent="0.3">
      <c r="B737"/>
      <c r="G737"/>
    </row>
    <row r="738" spans="2:7" x14ac:dyDescent="0.3">
      <c r="B738"/>
      <c r="G738"/>
    </row>
    <row r="739" spans="2:7" x14ac:dyDescent="0.3">
      <c r="B739"/>
      <c r="G739"/>
    </row>
    <row r="740" spans="2:7" x14ac:dyDescent="0.3">
      <c r="B740"/>
      <c r="G740"/>
    </row>
    <row r="741" spans="2:7" x14ac:dyDescent="0.3">
      <c r="B741"/>
      <c r="G741"/>
    </row>
    <row r="742" spans="2:7" x14ac:dyDescent="0.3">
      <c r="B742"/>
      <c r="G742"/>
    </row>
    <row r="743" spans="2:7" x14ac:dyDescent="0.3">
      <c r="B743"/>
      <c r="G743"/>
    </row>
    <row r="744" spans="2:7" x14ac:dyDescent="0.3">
      <c r="B744"/>
      <c r="G744"/>
    </row>
    <row r="745" spans="2:7" x14ac:dyDescent="0.3">
      <c r="B745"/>
      <c r="G745"/>
    </row>
    <row r="746" spans="2:7" x14ac:dyDescent="0.3">
      <c r="B746"/>
      <c r="G746"/>
    </row>
    <row r="747" spans="2:7" x14ac:dyDescent="0.3">
      <c r="B747"/>
      <c r="G747"/>
    </row>
    <row r="748" spans="2:7" x14ac:dyDescent="0.3">
      <c r="B748"/>
      <c r="G748"/>
    </row>
    <row r="749" spans="2:7" x14ac:dyDescent="0.3">
      <c r="B749"/>
      <c r="G749"/>
    </row>
    <row r="750" spans="2:7" x14ac:dyDescent="0.3">
      <c r="B750"/>
      <c r="G750"/>
    </row>
    <row r="751" spans="2:7" x14ac:dyDescent="0.3">
      <c r="B751"/>
      <c r="G751"/>
    </row>
    <row r="752" spans="2:7" x14ac:dyDescent="0.3">
      <c r="B752"/>
      <c r="G752"/>
    </row>
    <row r="753" spans="2:7" x14ac:dyDescent="0.3">
      <c r="B753"/>
      <c r="G753"/>
    </row>
    <row r="754" spans="2:7" x14ac:dyDescent="0.3">
      <c r="B754"/>
      <c r="G754"/>
    </row>
    <row r="755" spans="2:7" x14ac:dyDescent="0.3">
      <c r="B755"/>
      <c r="G755"/>
    </row>
    <row r="756" spans="2:7" x14ac:dyDescent="0.3">
      <c r="B756"/>
      <c r="G756"/>
    </row>
    <row r="757" spans="2:7" x14ac:dyDescent="0.3">
      <c r="B757"/>
      <c r="G757"/>
    </row>
    <row r="758" spans="2:7" x14ac:dyDescent="0.3">
      <c r="B758"/>
      <c r="G758"/>
    </row>
    <row r="759" spans="2:7" x14ac:dyDescent="0.3">
      <c r="B759"/>
      <c r="G759"/>
    </row>
    <row r="760" spans="2:7" x14ac:dyDescent="0.3">
      <c r="B760"/>
      <c r="G760"/>
    </row>
    <row r="761" spans="2:7" x14ac:dyDescent="0.3">
      <c r="B761"/>
      <c r="G761"/>
    </row>
    <row r="762" spans="2:7" x14ac:dyDescent="0.3">
      <c r="B762"/>
      <c r="G762"/>
    </row>
    <row r="763" spans="2:7" x14ac:dyDescent="0.3">
      <c r="B763"/>
      <c r="G763"/>
    </row>
    <row r="764" spans="2:7" x14ac:dyDescent="0.3">
      <c r="B764"/>
      <c r="G764"/>
    </row>
    <row r="765" spans="2:7" x14ac:dyDescent="0.3">
      <c r="B765"/>
      <c r="G765"/>
    </row>
    <row r="766" spans="2:7" x14ac:dyDescent="0.3">
      <c r="B766"/>
      <c r="G766"/>
    </row>
    <row r="767" spans="2:7" x14ac:dyDescent="0.3">
      <c r="B767"/>
      <c r="G767"/>
    </row>
    <row r="768" spans="2:7" x14ac:dyDescent="0.3">
      <c r="B768"/>
      <c r="G768"/>
    </row>
    <row r="769" spans="2:7" x14ac:dyDescent="0.3">
      <c r="B769"/>
      <c r="G769"/>
    </row>
    <row r="770" spans="2:7" x14ac:dyDescent="0.3">
      <c r="B770"/>
      <c r="G770"/>
    </row>
    <row r="771" spans="2:7" x14ac:dyDescent="0.3">
      <c r="B771"/>
      <c r="G771"/>
    </row>
    <row r="772" spans="2:7" x14ac:dyDescent="0.3">
      <c r="B772"/>
      <c r="G772"/>
    </row>
    <row r="773" spans="2:7" x14ac:dyDescent="0.3">
      <c r="B773"/>
      <c r="G773"/>
    </row>
    <row r="774" spans="2:7" x14ac:dyDescent="0.3">
      <c r="B774"/>
      <c r="G774"/>
    </row>
    <row r="775" spans="2:7" x14ac:dyDescent="0.3">
      <c r="B775"/>
      <c r="G775"/>
    </row>
    <row r="776" spans="2:7" x14ac:dyDescent="0.3">
      <c r="B776"/>
      <c r="G776"/>
    </row>
    <row r="777" spans="2:7" x14ac:dyDescent="0.3">
      <c r="B777"/>
      <c r="G777"/>
    </row>
    <row r="778" spans="2:7" x14ac:dyDescent="0.3">
      <c r="B778"/>
      <c r="G778"/>
    </row>
    <row r="779" spans="2:7" x14ac:dyDescent="0.3">
      <c r="B779"/>
      <c r="G779"/>
    </row>
    <row r="780" spans="2:7" x14ac:dyDescent="0.3">
      <c r="B780"/>
      <c r="G780"/>
    </row>
    <row r="781" spans="2:7" x14ac:dyDescent="0.3">
      <c r="B781"/>
      <c r="G781"/>
    </row>
    <row r="782" spans="2:7" x14ac:dyDescent="0.3">
      <c r="B782"/>
      <c r="G782"/>
    </row>
    <row r="783" spans="2:7" x14ac:dyDescent="0.3">
      <c r="B783"/>
      <c r="G783"/>
    </row>
    <row r="784" spans="2:7" x14ac:dyDescent="0.3">
      <c r="B784"/>
      <c r="G784"/>
    </row>
    <row r="785" spans="2:7" x14ac:dyDescent="0.3">
      <c r="B785"/>
      <c r="G785"/>
    </row>
    <row r="786" spans="2:7" x14ac:dyDescent="0.3">
      <c r="B786"/>
      <c r="G786"/>
    </row>
    <row r="787" spans="2:7" x14ac:dyDescent="0.3">
      <c r="B787"/>
      <c r="G787"/>
    </row>
    <row r="788" spans="2:7" x14ac:dyDescent="0.3">
      <c r="B788"/>
      <c r="G788"/>
    </row>
    <row r="789" spans="2:7" x14ac:dyDescent="0.3">
      <c r="B789"/>
      <c r="G789"/>
    </row>
    <row r="790" spans="2:7" x14ac:dyDescent="0.3">
      <c r="B790"/>
      <c r="G790"/>
    </row>
    <row r="791" spans="2:7" x14ac:dyDescent="0.3">
      <c r="B791"/>
      <c r="G791"/>
    </row>
    <row r="792" spans="2:7" x14ac:dyDescent="0.3">
      <c r="B792"/>
      <c r="G792"/>
    </row>
    <row r="793" spans="2:7" x14ac:dyDescent="0.3">
      <c r="B793"/>
      <c r="G793"/>
    </row>
    <row r="794" spans="2:7" x14ac:dyDescent="0.3">
      <c r="B794"/>
      <c r="G794"/>
    </row>
    <row r="795" spans="2:7" x14ac:dyDescent="0.3">
      <c r="B795"/>
      <c r="G795"/>
    </row>
    <row r="796" spans="2:7" x14ac:dyDescent="0.3">
      <c r="B796"/>
      <c r="G796"/>
    </row>
    <row r="797" spans="2:7" x14ac:dyDescent="0.3">
      <c r="B797"/>
      <c r="G797"/>
    </row>
    <row r="798" spans="2:7" x14ac:dyDescent="0.3">
      <c r="B798"/>
      <c r="G798"/>
    </row>
    <row r="799" spans="2:7" x14ac:dyDescent="0.3">
      <c r="B799"/>
      <c r="G799"/>
    </row>
    <row r="800" spans="2:7" x14ac:dyDescent="0.3">
      <c r="B800"/>
      <c r="G800"/>
    </row>
    <row r="801" spans="2:7" x14ac:dyDescent="0.3">
      <c r="B801"/>
      <c r="G801"/>
    </row>
    <row r="802" spans="2:7" x14ac:dyDescent="0.3">
      <c r="B802"/>
      <c r="G802"/>
    </row>
    <row r="803" spans="2:7" x14ac:dyDescent="0.3">
      <c r="B803"/>
      <c r="G803"/>
    </row>
    <row r="804" spans="2:7" x14ac:dyDescent="0.3">
      <c r="B804"/>
      <c r="G804"/>
    </row>
    <row r="805" spans="2:7" x14ac:dyDescent="0.3">
      <c r="B805"/>
      <c r="G805"/>
    </row>
    <row r="806" spans="2:7" x14ac:dyDescent="0.3">
      <c r="B806"/>
      <c r="G806"/>
    </row>
    <row r="807" spans="2:7" x14ac:dyDescent="0.3">
      <c r="B807"/>
      <c r="G807"/>
    </row>
    <row r="808" spans="2:7" x14ac:dyDescent="0.3">
      <c r="B808"/>
      <c r="G808"/>
    </row>
    <row r="809" spans="2:7" x14ac:dyDescent="0.3">
      <c r="B809"/>
      <c r="G809"/>
    </row>
    <row r="810" spans="2:7" x14ac:dyDescent="0.3">
      <c r="B810"/>
      <c r="G810"/>
    </row>
    <row r="811" spans="2:7" x14ac:dyDescent="0.3">
      <c r="B811"/>
      <c r="G811"/>
    </row>
    <row r="812" spans="2:7" x14ac:dyDescent="0.3">
      <c r="B812"/>
      <c r="G812"/>
    </row>
    <row r="813" spans="2:7" x14ac:dyDescent="0.3">
      <c r="B813"/>
      <c r="G813"/>
    </row>
    <row r="814" spans="2:7" x14ac:dyDescent="0.3">
      <c r="B814"/>
      <c r="G814"/>
    </row>
    <row r="815" spans="2:7" x14ac:dyDescent="0.3">
      <c r="B815"/>
      <c r="G815"/>
    </row>
    <row r="816" spans="2:7" x14ac:dyDescent="0.3">
      <c r="B816"/>
      <c r="G816"/>
    </row>
    <row r="817" spans="2:7" x14ac:dyDescent="0.3">
      <c r="B817"/>
      <c r="G817"/>
    </row>
    <row r="818" spans="2:7" x14ac:dyDescent="0.3">
      <c r="B818"/>
      <c r="G818"/>
    </row>
    <row r="819" spans="2:7" x14ac:dyDescent="0.3">
      <c r="B819"/>
      <c r="G819"/>
    </row>
    <row r="820" spans="2:7" x14ac:dyDescent="0.3">
      <c r="B820"/>
      <c r="G820"/>
    </row>
    <row r="821" spans="2:7" x14ac:dyDescent="0.3">
      <c r="B821"/>
      <c r="G821"/>
    </row>
    <row r="822" spans="2:7" x14ac:dyDescent="0.3">
      <c r="B822"/>
      <c r="G822"/>
    </row>
    <row r="823" spans="2:7" x14ac:dyDescent="0.3">
      <c r="B823"/>
      <c r="G823"/>
    </row>
    <row r="824" spans="2:7" x14ac:dyDescent="0.3">
      <c r="B824"/>
      <c r="G824"/>
    </row>
    <row r="825" spans="2:7" x14ac:dyDescent="0.3">
      <c r="B825"/>
      <c r="G825"/>
    </row>
    <row r="826" spans="2:7" x14ac:dyDescent="0.3">
      <c r="B826"/>
      <c r="G826"/>
    </row>
    <row r="827" spans="2:7" x14ac:dyDescent="0.3">
      <c r="B827"/>
      <c r="G827"/>
    </row>
    <row r="828" spans="2:7" x14ac:dyDescent="0.3">
      <c r="B828"/>
      <c r="G828"/>
    </row>
    <row r="829" spans="2:7" x14ac:dyDescent="0.3">
      <c r="B829"/>
      <c r="G829"/>
    </row>
    <row r="830" spans="2:7" x14ac:dyDescent="0.3">
      <c r="B830"/>
      <c r="G830"/>
    </row>
    <row r="831" spans="2:7" x14ac:dyDescent="0.3">
      <c r="B831"/>
      <c r="G831"/>
    </row>
    <row r="832" spans="2:7" x14ac:dyDescent="0.3">
      <c r="B832"/>
      <c r="G832"/>
    </row>
    <row r="833" spans="2:7" x14ac:dyDescent="0.3">
      <c r="B833"/>
      <c r="G833"/>
    </row>
    <row r="834" spans="2:7" x14ac:dyDescent="0.3">
      <c r="B834"/>
      <c r="G834"/>
    </row>
    <row r="835" spans="2:7" x14ac:dyDescent="0.3">
      <c r="B835"/>
      <c r="G835"/>
    </row>
    <row r="836" spans="2:7" x14ac:dyDescent="0.3">
      <c r="B836"/>
      <c r="G836"/>
    </row>
    <row r="837" spans="2:7" x14ac:dyDescent="0.3">
      <c r="B837"/>
      <c r="G837"/>
    </row>
    <row r="838" spans="2:7" x14ac:dyDescent="0.3">
      <c r="B838"/>
      <c r="G838"/>
    </row>
    <row r="839" spans="2:7" x14ac:dyDescent="0.3">
      <c r="B839"/>
      <c r="G839"/>
    </row>
    <row r="840" spans="2:7" x14ac:dyDescent="0.3">
      <c r="B840"/>
      <c r="G840"/>
    </row>
    <row r="841" spans="2:7" x14ac:dyDescent="0.3">
      <c r="B841"/>
      <c r="G841"/>
    </row>
    <row r="842" spans="2:7" x14ac:dyDescent="0.3">
      <c r="B842"/>
      <c r="G842"/>
    </row>
    <row r="843" spans="2:7" x14ac:dyDescent="0.3">
      <c r="B843"/>
      <c r="G843"/>
    </row>
    <row r="844" spans="2:7" x14ac:dyDescent="0.3">
      <c r="B844"/>
      <c r="G844"/>
    </row>
    <row r="845" spans="2:7" x14ac:dyDescent="0.3">
      <c r="B845"/>
      <c r="G845"/>
    </row>
    <row r="846" spans="2:7" x14ac:dyDescent="0.3">
      <c r="B846"/>
      <c r="G846"/>
    </row>
    <row r="847" spans="2:7" x14ac:dyDescent="0.3">
      <c r="B847"/>
      <c r="G847"/>
    </row>
    <row r="848" spans="2:7" x14ac:dyDescent="0.3">
      <c r="B848"/>
      <c r="G848"/>
    </row>
    <row r="849" spans="2:7" x14ac:dyDescent="0.3">
      <c r="B849"/>
      <c r="G849"/>
    </row>
    <row r="850" spans="2:7" x14ac:dyDescent="0.3">
      <c r="B850"/>
      <c r="G850"/>
    </row>
    <row r="851" spans="2:7" x14ac:dyDescent="0.3">
      <c r="B851"/>
      <c r="G851"/>
    </row>
    <row r="852" spans="2:7" x14ac:dyDescent="0.3">
      <c r="B852"/>
      <c r="G852"/>
    </row>
    <row r="853" spans="2:7" x14ac:dyDescent="0.3">
      <c r="B853"/>
      <c r="G853"/>
    </row>
    <row r="854" spans="2:7" x14ac:dyDescent="0.3">
      <c r="B854"/>
      <c r="G854"/>
    </row>
    <row r="855" spans="2:7" x14ac:dyDescent="0.3">
      <c r="B855"/>
      <c r="G855"/>
    </row>
    <row r="856" spans="2:7" x14ac:dyDescent="0.3">
      <c r="B856"/>
      <c r="G856"/>
    </row>
    <row r="857" spans="2:7" x14ac:dyDescent="0.3">
      <c r="B857"/>
      <c r="G857"/>
    </row>
    <row r="858" spans="2:7" x14ac:dyDescent="0.3">
      <c r="B858"/>
      <c r="G858"/>
    </row>
    <row r="859" spans="2:7" x14ac:dyDescent="0.3">
      <c r="B859"/>
      <c r="G859"/>
    </row>
    <row r="860" spans="2:7" x14ac:dyDescent="0.3">
      <c r="B860"/>
      <c r="G860"/>
    </row>
    <row r="861" spans="2:7" x14ac:dyDescent="0.3">
      <c r="B861"/>
      <c r="G861"/>
    </row>
    <row r="862" spans="2:7" x14ac:dyDescent="0.3">
      <c r="B862"/>
      <c r="G862"/>
    </row>
    <row r="863" spans="2:7" x14ac:dyDescent="0.3">
      <c r="B863"/>
      <c r="G863"/>
    </row>
    <row r="864" spans="2:7" x14ac:dyDescent="0.3">
      <c r="B864"/>
      <c r="G864"/>
    </row>
    <row r="865" spans="2:7" x14ac:dyDescent="0.3">
      <c r="B865"/>
      <c r="G865"/>
    </row>
    <row r="866" spans="2:7" x14ac:dyDescent="0.3">
      <c r="B866"/>
      <c r="G866"/>
    </row>
    <row r="867" spans="2:7" x14ac:dyDescent="0.3">
      <c r="B867"/>
      <c r="G867"/>
    </row>
    <row r="868" spans="2:7" x14ac:dyDescent="0.3">
      <c r="B868"/>
      <c r="G868"/>
    </row>
    <row r="869" spans="2:7" x14ac:dyDescent="0.3">
      <c r="B869"/>
      <c r="G869"/>
    </row>
    <row r="870" spans="2:7" x14ac:dyDescent="0.3">
      <c r="B870"/>
      <c r="G870"/>
    </row>
    <row r="871" spans="2:7" x14ac:dyDescent="0.3">
      <c r="B871"/>
      <c r="G871"/>
    </row>
    <row r="872" spans="2:7" x14ac:dyDescent="0.3">
      <c r="B872"/>
      <c r="G872"/>
    </row>
    <row r="873" spans="2:7" x14ac:dyDescent="0.3">
      <c r="B873"/>
      <c r="G873"/>
    </row>
    <row r="874" spans="2:7" x14ac:dyDescent="0.3">
      <c r="B874"/>
      <c r="G874"/>
    </row>
    <row r="875" spans="2:7" x14ac:dyDescent="0.3">
      <c r="B875"/>
      <c r="G875"/>
    </row>
    <row r="876" spans="2:7" x14ac:dyDescent="0.3">
      <c r="B876"/>
      <c r="G876"/>
    </row>
    <row r="877" spans="2:7" x14ac:dyDescent="0.3">
      <c r="B877"/>
      <c r="G877"/>
    </row>
    <row r="878" spans="2:7" x14ac:dyDescent="0.3">
      <c r="B878"/>
      <c r="G878"/>
    </row>
    <row r="879" spans="2:7" x14ac:dyDescent="0.3">
      <c r="B879"/>
      <c r="G879"/>
    </row>
    <row r="880" spans="2:7" x14ac:dyDescent="0.3">
      <c r="B880"/>
      <c r="G880"/>
    </row>
    <row r="881" spans="2:7" x14ac:dyDescent="0.3">
      <c r="B881"/>
      <c r="G881"/>
    </row>
    <row r="882" spans="2:7" x14ac:dyDescent="0.3">
      <c r="B882"/>
      <c r="G882"/>
    </row>
    <row r="883" spans="2:7" x14ac:dyDescent="0.3">
      <c r="B883"/>
      <c r="G883"/>
    </row>
    <row r="884" spans="2:7" x14ac:dyDescent="0.3">
      <c r="B884"/>
      <c r="G884"/>
    </row>
    <row r="885" spans="2:7" x14ac:dyDescent="0.3">
      <c r="B885"/>
      <c r="G885"/>
    </row>
    <row r="886" spans="2:7" x14ac:dyDescent="0.3">
      <c r="B886"/>
      <c r="G886"/>
    </row>
    <row r="887" spans="2:7" x14ac:dyDescent="0.3">
      <c r="B887"/>
      <c r="G887"/>
    </row>
    <row r="888" spans="2:7" x14ac:dyDescent="0.3">
      <c r="B888"/>
      <c r="G888"/>
    </row>
    <row r="889" spans="2:7" x14ac:dyDescent="0.3">
      <c r="B889"/>
      <c r="G889"/>
    </row>
    <row r="890" spans="2:7" x14ac:dyDescent="0.3">
      <c r="B890"/>
      <c r="G890"/>
    </row>
    <row r="891" spans="2:7" x14ac:dyDescent="0.3">
      <c r="B891"/>
      <c r="G891"/>
    </row>
    <row r="892" spans="2:7" x14ac:dyDescent="0.3">
      <c r="B892"/>
      <c r="G892"/>
    </row>
    <row r="893" spans="2:7" x14ac:dyDescent="0.3">
      <c r="B893"/>
      <c r="G893"/>
    </row>
    <row r="894" spans="2:7" x14ac:dyDescent="0.3">
      <c r="B894"/>
      <c r="G894"/>
    </row>
    <row r="895" spans="2:7" x14ac:dyDescent="0.3">
      <c r="B895"/>
      <c r="G895"/>
    </row>
    <row r="896" spans="2:7" x14ac:dyDescent="0.3">
      <c r="B896"/>
      <c r="G896"/>
    </row>
    <row r="897" spans="2:7" x14ac:dyDescent="0.3">
      <c r="B897"/>
      <c r="G897"/>
    </row>
    <row r="898" spans="2:7" x14ac:dyDescent="0.3">
      <c r="B898"/>
      <c r="G898"/>
    </row>
    <row r="899" spans="2:7" x14ac:dyDescent="0.3">
      <c r="B899"/>
      <c r="G899"/>
    </row>
    <row r="900" spans="2:7" x14ac:dyDescent="0.3">
      <c r="B900"/>
      <c r="G900"/>
    </row>
    <row r="901" spans="2:7" x14ac:dyDescent="0.3">
      <c r="B901"/>
      <c r="G901"/>
    </row>
    <row r="902" spans="2:7" x14ac:dyDescent="0.3">
      <c r="B902"/>
      <c r="G902"/>
    </row>
    <row r="903" spans="2:7" x14ac:dyDescent="0.3">
      <c r="B903"/>
      <c r="G903"/>
    </row>
    <row r="904" spans="2:7" x14ac:dyDescent="0.3">
      <c r="B904"/>
      <c r="G904"/>
    </row>
    <row r="905" spans="2:7" x14ac:dyDescent="0.3">
      <c r="B905"/>
      <c r="G905"/>
    </row>
    <row r="906" spans="2:7" x14ac:dyDescent="0.3">
      <c r="B906"/>
      <c r="G906"/>
    </row>
    <row r="907" spans="2:7" x14ac:dyDescent="0.3">
      <c r="B907"/>
      <c r="G907"/>
    </row>
    <row r="908" spans="2:7" x14ac:dyDescent="0.3">
      <c r="B908"/>
      <c r="G908"/>
    </row>
    <row r="909" spans="2:7" x14ac:dyDescent="0.3">
      <c r="B909"/>
      <c r="G909"/>
    </row>
    <row r="910" spans="2:7" x14ac:dyDescent="0.3">
      <c r="B910"/>
      <c r="G910"/>
    </row>
    <row r="911" spans="2:7" x14ac:dyDescent="0.3">
      <c r="B911"/>
      <c r="G911"/>
    </row>
    <row r="912" spans="2:7" x14ac:dyDescent="0.3">
      <c r="B912"/>
      <c r="G912"/>
    </row>
    <row r="913" spans="2:7" x14ac:dyDescent="0.3">
      <c r="B913"/>
      <c r="G913"/>
    </row>
    <row r="914" spans="2:7" x14ac:dyDescent="0.3">
      <c r="B914"/>
      <c r="G914"/>
    </row>
    <row r="915" spans="2:7" x14ac:dyDescent="0.3">
      <c r="B915"/>
      <c r="G915"/>
    </row>
    <row r="916" spans="2:7" x14ac:dyDescent="0.3">
      <c r="B916"/>
      <c r="G916"/>
    </row>
    <row r="917" spans="2:7" x14ac:dyDescent="0.3">
      <c r="B917"/>
      <c r="G917"/>
    </row>
    <row r="918" spans="2:7" x14ac:dyDescent="0.3">
      <c r="B918"/>
      <c r="G918"/>
    </row>
    <row r="919" spans="2:7" x14ac:dyDescent="0.3">
      <c r="B919"/>
      <c r="G919"/>
    </row>
    <row r="920" spans="2:7" x14ac:dyDescent="0.3">
      <c r="B920"/>
      <c r="G920"/>
    </row>
    <row r="921" spans="2:7" x14ac:dyDescent="0.3">
      <c r="B921"/>
      <c r="G921"/>
    </row>
    <row r="922" spans="2:7" x14ac:dyDescent="0.3">
      <c r="B922"/>
      <c r="G922"/>
    </row>
    <row r="923" spans="2:7" x14ac:dyDescent="0.3">
      <c r="B923"/>
      <c r="G923"/>
    </row>
    <row r="924" spans="2:7" x14ac:dyDescent="0.3">
      <c r="B924"/>
      <c r="G924"/>
    </row>
    <row r="925" spans="2:7" x14ac:dyDescent="0.3">
      <c r="B925"/>
      <c r="G925"/>
    </row>
    <row r="926" spans="2:7" x14ac:dyDescent="0.3">
      <c r="B926"/>
      <c r="G926"/>
    </row>
    <row r="927" spans="2:7" x14ac:dyDescent="0.3">
      <c r="B927"/>
      <c r="G927"/>
    </row>
    <row r="928" spans="2:7" x14ac:dyDescent="0.3">
      <c r="B928"/>
      <c r="G928"/>
    </row>
    <row r="929" spans="2:7" x14ac:dyDescent="0.3">
      <c r="B929"/>
      <c r="G929"/>
    </row>
    <row r="930" spans="2:7" x14ac:dyDescent="0.3">
      <c r="B930"/>
      <c r="G930"/>
    </row>
    <row r="931" spans="2:7" x14ac:dyDescent="0.3">
      <c r="B931"/>
      <c r="G931"/>
    </row>
    <row r="932" spans="2:7" x14ac:dyDescent="0.3">
      <c r="B932"/>
      <c r="G932"/>
    </row>
    <row r="933" spans="2:7" x14ac:dyDescent="0.3">
      <c r="B933"/>
      <c r="G933"/>
    </row>
    <row r="934" spans="2:7" x14ac:dyDescent="0.3">
      <c r="B934"/>
      <c r="G934"/>
    </row>
    <row r="935" spans="2:7" x14ac:dyDescent="0.3">
      <c r="B935"/>
      <c r="G935"/>
    </row>
    <row r="936" spans="2:7" x14ac:dyDescent="0.3">
      <c r="B936"/>
      <c r="G936"/>
    </row>
    <row r="937" spans="2:7" x14ac:dyDescent="0.3">
      <c r="B937"/>
      <c r="G937"/>
    </row>
    <row r="938" spans="2:7" x14ac:dyDescent="0.3">
      <c r="B938"/>
      <c r="G938"/>
    </row>
    <row r="939" spans="2:7" x14ac:dyDescent="0.3">
      <c r="B939"/>
      <c r="G939"/>
    </row>
    <row r="940" spans="2:7" x14ac:dyDescent="0.3">
      <c r="B940"/>
      <c r="G940"/>
    </row>
    <row r="941" spans="2:7" x14ac:dyDescent="0.3">
      <c r="B941"/>
      <c r="G941"/>
    </row>
    <row r="942" spans="2:7" x14ac:dyDescent="0.3">
      <c r="B942"/>
      <c r="G942"/>
    </row>
    <row r="943" spans="2:7" x14ac:dyDescent="0.3">
      <c r="B943"/>
      <c r="G943"/>
    </row>
    <row r="944" spans="2:7" x14ac:dyDescent="0.3">
      <c r="B944"/>
      <c r="G944"/>
    </row>
    <row r="945" spans="2:7" x14ac:dyDescent="0.3">
      <c r="B945"/>
      <c r="G945"/>
    </row>
    <row r="946" spans="2:7" x14ac:dyDescent="0.3">
      <c r="B946"/>
      <c r="G946"/>
    </row>
    <row r="947" spans="2:7" x14ac:dyDescent="0.3">
      <c r="B947"/>
      <c r="G947"/>
    </row>
    <row r="948" spans="2:7" x14ac:dyDescent="0.3">
      <c r="B948"/>
      <c r="G948"/>
    </row>
    <row r="949" spans="2:7" x14ac:dyDescent="0.3">
      <c r="B949"/>
      <c r="G949"/>
    </row>
    <row r="950" spans="2:7" x14ac:dyDescent="0.3">
      <c r="B950"/>
      <c r="G950"/>
    </row>
    <row r="951" spans="2:7" x14ac:dyDescent="0.3">
      <c r="B951"/>
      <c r="G951"/>
    </row>
    <row r="952" spans="2:7" x14ac:dyDescent="0.3">
      <c r="B952"/>
      <c r="G952"/>
    </row>
    <row r="953" spans="2:7" x14ac:dyDescent="0.3">
      <c r="B953"/>
      <c r="G953"/>
    </row>
    <row r="954" spans="2:7" x14ac:dyDescent="0.3">
      <c r="B954"/>
      <c r="G954"/>
    </row>
    <row r="955" spans="2:7" x14ac:dyDescent="0.3">
      <c r="B955"/>
      <c r="G955"/>
    </row>
    <row r="956" spans="2:7" x14ac:dyDescent="0.3">
      <c r="B956"/>
      <c r="G956"/>
    </row>
    <row r="957" spans="2:7" x14ac:dyDescent="0.3">
      <c r="B957"/>
      <c r="G957"/>
    </row>
    <row r="958" spans="2:7" x14ac:dyDescent="0.3">
      <c r="B958"/>
      <c r="G958"/>
    </row>
    <row r="959" spans="2:7" x14ac:dyDescent="0.3">
      <c r="B959"/>
      <c r="G959"/>
    </row>
    <row r="960" spans="2:7" x14ac:dyDescent="0.3">
      <c r="B960"/>
      <c r="G960"/>
    </row>
    <row r="961" spans="2:7" x14ac:dyDescent="0.3">
      <c r="B961"/>
      <c r="G961"/>
    </row>
    <row r="962" spans="2:7" x14ac:dyDescent="0.3">
      <c r="B962"/>
      <c r="G962"/>
    </row>
    <row r="963" spans="2:7" x14ac:dyDescent="0.3">
      <c r="B963"/>
      <c r="G963"/>
    </row>
    <row r="964" spans="2:7" x14ac:dyDescent="0.3">
      <c r="B964"/>
      <c r="G964"/>
    </row>
    <row r="965" spans="2:7" x14ac:dyDescent="0.3">
      <c r="B965"/>
      <c r="G965"/>
    </row>
    <row r="966" spans="2:7" x14ac:dyDescent="0.3">
      <c r="B966"/>
      <c r="G966"/>
    </row>
    <row r="967" spans="2:7" x14ac:dyDescent="0.3">
      <c r="B967"/>
      <c r="G967"/>
    </row>
    <row r="968" spans="2:7" x14ac:dyDescent="0.3">
      <c r="B968"/>
      <c r="G968"/>
    </row>
    <row r="969" spans="2:7" x14ac:dyDescent="0.3">
      <c r="B969"/>
      <c r="G969"/>
    </row>
    <row r="970" spans="2:7" x14ac:dyDescent="0.3">
      <c r="B970"/>
      <c r="G970"/>
    </row>
    <row r="971" spans="2:7" x14ac:dyDescent="0.3">
      <c r="B971"/>
      <c r="G971"/>
    </row>
    <row r="972" spans="2:7" x14ac:dyDescent="0.3">
      <c r="B972"/>
      <c r="G972"/>
    </row>
    <row r="973" spans="2:7" x14ac:dyDescent="0.3">
      <c r="B973"/>
      <c r="G973"/>
    </row>
    <row r="974" spans="2:7" x14ac:dyDescent="0.3">
      <c r="B974"/>
      <c r="G974"/>
    </row>
    <row r="975" spans="2:7" x14ac:dyDescent="0.3">
      <c r="B975"/>
      <c r="G975"/>
    </row>
    <row r="976" spans="2:7" x14ac:dyDescent="0.3">
      <c r="B976"/>
      <c r="G976"/>
    </row>
    <row r="977" spans="2:7" x14ac:dyDescent="0.3">
      <c r="B977"/>
      <c r="G977"/>
    </row>
    <row r="978" spans="2:7" x14ac:dyDescent="0.3">
      <c r="B978"/>
      <c r="G978"/>
    </row>
    <row r="979" spans="2:7" x14ac:dyDescent="0.3">
      <c r="B979"/>
      <c r="G979"/>
    </row>
    <row r="980" spans="2:7" x14ac:dyDescent="0.3">
      <c r="B980"/>
      <c r="G980"/>
    </row>
    <row r="981" spans="2:7" x14ac:dyDescent="0.3">
      <c r="B981"/>
      <c r="G981"/>
    </row>
    <row r="982" spans="2:7" x14ac:dyDescent="0.3">
      <c r="B982"/>
      <c r="G982"/>
    </row>
    <row r="983" spans="2:7" x14ac:dyDescent="0.3">
      <c r="B983"/>
      <c r="G983"/>
    </row>
    <row r="984" spans="2:7" x14ac:dyDescent="0.3">
      <c r="B984"/>
      <c r="G984"/>
    </row>
    <row r="985" spans="2:7" x14ac:dyDescent="0.3">
      <c r="B985"/>
      <c r="G985"/>
    </row>
    <row r="986" spans="2:7" x14ac:dyDescent="0.3">
      <c r="B986"/>
      <c r="G986"/>
    </row>
    <row r="987" spans="2:7" x14ac:dyDescent="0.3">
      <c r="B987"/>
      <c r="G987"/>
    </row>
    <row r="988" spans="2:7" x14ac:dyDescent="0.3">
      <c r="B988"/>
      <c r="G988"/>
    </row>
    <row r="989" spans="2:7" x14ac:dyDescent="0.3">
      <c r="B989"/>
      <c r="G989"/>
    </row>
    <row r="990" spans="2:7" x14ac:dyDescent="0.3">
      <c r="B990"/>
      <c r="G990"/>
    </row>
    <row r="991" spans="2:7" x14ac:dyDescent="0.3">
      <c r="B991"/>
      <c r="G991"/>
    </row>
    <row r="992" spans="2:7" x14ac:dyDescent="0.3">
      <c r="B992"/>
      <c r="G992"/>
    </row>
    <row r="993" spans="2:7" x14ac:dyDescent="0.3">
      <c r="B993"/>
      <c r="G993"/>
    </row>
    <row r="994" spans="2:7" x14ac:dyDescent="0.3">
      <c r="B994"/>
      <c r="G994"/>
    </row>
    <row r="995" spans="2:7" x14ac:dyDescent="0.3">
      <c r="B995"/>
      <c r="G995"/>
    </row>
    <row r="996" spans="2:7" x14ac:dyDescent="0.3">
      <c r="B996"/>
      <c r="G996"/>
    </row>
    <row r="997" spans="2:7" x14ac:dyDescent="0.3">
      <c r="B997"/>
      <c r="G997"/>
    </row>
    <row r="998" spans="2:7" x14ac:dyDescent="0.3">
      <c r="B998"/>
      <c r="G998"/>
    </row>
    <row r="999" spans="2:7" x14ac:dyDescent="0.3">
      <c r="B999"/>
      <c r="G999"/>
    </row>
    <row r="1000" spans="2:7" x14ac:dyDescent="0.3">
      <c r="B1000"/>
      <c r="G1000"/>
    </row>
    <row r="1001" spans="2:7" x14ac:dyDescent="0.3">
      <c r="B1001"/>
      <c r="G1001"/>
    </row>
    <row r="1002" spans="2:7" x14ac:dyDescent="0.3">
      <c r="B1002"/>
      <c r="G1002"/>
    </row>
    <row r="1003" spans="2:7" x14ac:dyDescent="0.3">
      <c r="B1003"/>
      <c r="G1003"/>
    </row>
    <row r="1004" spans="2:7" x14ac:dyDescent="0.3">
      <c r="B1004"/>
      <c r="G1004"/>
    </row>
    <row r="1005" spans="2:7" x14ac:dyDescent="0.3">
      <c r="B1005"/>
      <c r="G1005"/>
    </row>
    <row r="1006" spans="2:7" x14ac:dyDescent="0.3">
      <c r="B1006"/>
      <c r="G1006"/>
    </row>
    <row r="1007" spans="2:7" x14ac:dyDescent="0.3">
      <c r="B1007"/>
      <c r="G1007"/>
    </row>
    <row r="1008" spans="2:7" x14ac:dyDescent="0.3">
      <c r="B1008"/>
      <c r="G1008"/>
    </row>
    <row r="1009" spans="2:7" x14ac:dyDescent="0.3">
      <c r="B1009"/>
      <c r="G1009"/>
    </row>
    <row r="1010" spans="2:7" x14ac:dyDescent="0.3">
      <c r="B1010"/>
      <c r="G1010"/>
    </row>
    <row r="1011" spans="2:7" x14ac:dyDescent="0.3">
      <c r="B1011"/>
      <c r="G1011"/>
    </row>
    <row r="1012" spans="2:7" x14ac:dyDescent="0.3">
      <c r="B1012"/>
      <c r="G1012"/>
    </row>
    <row r="1013" spans="2:7" x14ac:dyDescent="0.3">
      <c r="B1013"/>
      <c r="G1013"/>
    </row>
    <row r="1014" spans="2:7" x14ac:dyDescent="0.3">
      <c r="B1014"/>
      <c r="G1014"/>
    </row>
    <row r="1015" spans="2:7" x14ac:dyDescent="0.3">
      <c r="B1015"/>
      <c r="G1015"/>
    </row>
    <row r="1016" spans="2:7" x14ac:dyDescent="0.3">
      <c r="B1016"/>
      <c r="G1016"/>
    </row>
    <row r="1017" spans="2:7" x14ac:dyDescent="0.3">
      <c r="B1017"/>
      <c r="G1017"/>
    </row>
    <row r="1018" spans="2:7" x14ac:dyDescent="0.3">
      <c r="B1018"/>
      <c r="G1018"/>
    </row>
    <row r="1019" spans="2:7" x14ac:dyDescent="0.3">
      <c r="B1019"/>
      <c r="G1019"/>
    </row>
    <row r="1020" spans="2:7" x14ac:dyDescent="0.3">
      <c r="B1020"/>
      <c r="G1020"/>
    </row>
    <row r="1021" spans="2:7" x14ac:dyDescent="0.3">
      <c r="B1021"/>
      <c r="G1021"/>
    </row>
    <row r="1022" spans="2:7" x14ac:dyDescent="0.3">
      <c r="B1022"/>
      <c r="G1022"/>
    </row>
    <row r="1023" spans="2:7" x14ac:dyDescent="0.3">
      <c r="B1023"/>
      <c r="G1023"/>
    </row>
    <row r="1024" spans="2:7" x14ac:dyDescent="0.3">
      <c r="B1024"/>
      <c r="G1024"/>
    </row>
    <row r="1025" spans="2:7" x14ac:dyDescent="0.3">
      <c r="B1025"/>
      <c r="G1025"/>
    </row>
    <row r="1026" spans="2:7" x14ac:dyDescent="0.3">
      <c r="B1026"/>
      <c r="G1026"/>
    </row>
    <row r="1027" spans="2:7" x14ac:dyDescent="0.3">
      <c r="B1027"/>
      <c r="G1027"/>
    </row>
    <row r="1028" spans="2:7" x14ac:dyDescent="0.3">
      <c r="B1028"/>
      <c r="G1028"/>
    </row>
    <row r="1029" spans="2:7" x14ac:dyDescent="0.3">
      <c r="B1029"/>
      <c r="G1029"/>
    </row>
    <row r="1030" spans="2:7" x14ac:dyDescent="0.3">
      <c r="B1030"/>
      <c r="G1030"/>
    </row>
    <row r="1031" spans="2:7" x14ac:dyDescent="0.3">
      <c r="B1031"/>
      <c r="G1031"/>
    </row>
    <row r="1032" spans="2:7" x14ac:dyDescent="0.3">
      <c r="B1032"/>
      <c r="G1032"/>
    </row>
    <row r="1033" spans="2:7" x14ac:dyDescent="0.3">
      <c r="B1033"/>
      <c r="G1033"/>
    </row>
    <row r="1034" spans="2:7" x14ac:dyDescent="0.3">
      <c r="B1034"/>
      <c r="G1034"/>
    </row>
    <row r="1035" spans="2:7" x14ac:dyDescent="0.3">
      <c r="B1035"/>
      <c r="G1035"/>
    </row>
    <row r="1036" spans="2:7" x14ac:dyDescent="0.3">
      <c r="B1036"/>
      <c r="G1036"/>
    </row>
    <row r="1037" spans="2:7" x14ac:dyDescent="0.3">
      <c r="B1037"/>
      <c r="G1037"/>
    </row>
    <row r="1038" spans="2:7" x14ac:dyDescent="0.3">
      <c r="B1038"/>
      <c r="G1038"/>
    </row>
    <row r="1039" spans="2:7" x14ac:dyDescent="0.3">
      <c r="B1039"/>
      <c r="G1039"/>
    </row>
    <row r="1040" spans="2:7" x14ac:dyDescent="0.3">
      <c r="B1040"/>
      <c r="G1040"/>
    </row>
    <row r="1041" spans="7:7" x14ac:dyDescent="0.3">
      <c r="G1041"/>
    </row>
    <row r="1042" spans="7:7" x14ac:dyDescent="0.3">
      <c r="G1042"/>
    </row>
    <row r="1043" spans="7:7" x14ac:dyDescent="0.3">
      <c r="G1043"/>
    </row>
    <row r="1044" spans="7:7" x14ac:dyDescent="0.3">
      <c r="G1044"/>
    </row>
    <row r="1045" spans="7:7" x14ac:dyDescent="0.3">
      <c r="G1045"/>
    </row>
  </sheetData>
  <mergeCells count="1">
    <mergeCell ref="B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05ECDF-5C0E-4BDB-ABA6-CB06EABA88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SCGHGEF Data</vt:lpstr>
      <vt:lpstr>SCE_Dataset</vt:lpstr>
      <vt:lpstr>Pivot tables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 Ishu</cp:lastModifiedBy>
  <dcterms:created xsi:type="dcterms:W3CDTF">2026-05-05T08:24:36Z</dcterms:created>
  <dcterms:modified xsi:type="dcterms:W3CDTF">2026-05-07T22:00:23Z</dcterms:modified>
</cp:coreProperties>
</file>